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T0038\Desktop\python\youtube_budget_ver1\"/>
    </mc:Choice>
  </mc:AlternateContent>
  <xr:revisionPtr revIDLastSave="0" documentId="13_ncr:1_{C0739CFD-E646-44EE-B431-202649F95EDC}" xr6:coauthVersionLast="47" xr6:coauthVersionMax="47" xr10:uidLastSave="{00000000-0000-0000-0000-000000000000}"/>
  <bookViews>
    <workbookView xWindow="-120" yWindow="-120" windowWidth="29040" windowHeight="15840" tabRatio="897" firstSheet="16" activeTab="16" xr2:uid="{00000000-000D-0000-FFFF-FFFF00000000}"/>
  </bookViews>
  <sheets>
    <sheet name="Mapping" sheetId="50" state="hidden" r:id="rId1"/>
    <sheet name="Category" sheetId="68" state="hidden" r:id="rId2"/>
    <sheet name="Validation" sheetId="80" state="hidden" r:id="rId3"/>
    <sheet name="Gunosy" sheetId="109" state="hidden" r:id="rId4"/>
    <sheet name="Logicad" sheetId="111" state="hidden" r:id="rId5"/>
    <sheet name="KANADE" sheetId="115" state="hidden" r:id="rId6"/>
    <sheet name="Unicorn" sheetId="116" state="hidden" r:id="rId7"/>
    <sheet name="ASA" sheetId="110" state="hidden" r:id="rId8"/>
    <sheet name="Facebook" sheetId="93" state="hidden" r:id="rId9"/>
    <sheet name="SmartNews" sheetId="107" state="hidden" r:id="rId10"/>
    <sheet name="CAD" sheetId="64" state="hidden" r:id="rId11"/>
    <sheet name="External" sheetId="114" state="hidden" r:id="rId12"/>
    <sheet name="Yahoo" sheetId="123" state="hidden" r:id="rId13"/>
    <sheet name="Docomo" sheetId="127" state="hidden" r:id="rId14"/>
    <sheet name="Cube" sheetId="129" state="hidden" r:id="rId15"/>
    <sheet name="SearchSuite" sheetId="128" state="hidden" r:id="rId16"/>
    <sheet name="Google" sheetId="94" r:id="rId17"/>
    <sheet name="LINE" sheetId="105" state="hidden" r:id="rId18"/>
    <sheet name="Criteo" sheetId="120" state="hidden" r:id="rId19"/>
    <sheet name="Twitter" sheetId="92" state="hidden" r:id="rId20"/>
    <sheet name="Bytedance" sheetId="113" state="hidden" r:id="rId21"/>
    <sheet name="RTBHouse" sheetId="112" state="hidden" r:id="rId22"/>
    <sheet name="Ameba" sheetId="117" state="hidden" r:id="rId23"/>
    <sheet name="nend" sheetId="118" state="hidden" r:id="rId24"/>
    <sheet name="imobile" sheetId="108" state="hidden" r:id="rId25"/>
    <sheet name="AmoAd" sheetId="119" state="hidden" r:id="rId26"/>
    <sheet name="Dynalyst" sheetId="106" state="hidden" r:id="rId27"/>
    <sheet name="YSS" sheetId="125" state="hidden" r:id="rId28"/>
    <sheet name="YDN" sheetId="126" state="hidden" r:id="rId29"/>
  </sheets>
  <definedNames>
    <definedName name="_xlnm._FilterDatabase" localSheetId="1" hidden="1">Category!$A$3:$BL$50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O2" i="68" l="1"/>
  <c r="Y2" i="68"/>
  <c r="U2" i="68"/>
  <c r="BK2" i="68"/>
  <c r="BG2" i="68"/>
  <c r="BC2" i="68"/>
  <c r="AX2" i="68"/>
  <c r="AT2" i="68"/>
  <c r="AP2" i="68"/>
  <c r="AL2" i="68"/>
  <c r="AH2" i="68"/>
  <c r="AD2" i="68"/>
  <c r="Q2" i="68"/>
  <c r="M2" i="68" l="1"/>
  <c r="K2" i="68"/>
  <c r="G2" i="68"/>
  <c r="E2" i="68"/>
  <c r="C2" i="68" l="1"/>
</calcChain>
</file>

<file path=xl/sharedStrings.xml><?xml version="1.0" encoding="utf-8"?>
<sst xmlns="http://schemas.openxmlformats.org/spreadsheetml/2006/main" count="1702" uniqueCount="525">
  <si>
    <t>Mapping</t>
    <phoneticPr fontId="1"/>
  </si>
  <si>
    <t>Mapping</t>
  </si>
  <si>
    <t>Wait_Time</t>
    <phoneticPr fontId="1"/>
  </si>
  <si>
    <t>Media</t>
  </si>
  <si>
    <t>Status(ON)</t>
    <phoneticPr fontId="1"/>
  </si>
  <si>
    <t>合計</t>
    <rPh sb="0" eb="2">
      <t>ゴウケイ</t>
    </rPh>
    <phoneticPr fontId="1"/>
  </si>
  <si>
    <t>テキスト: 等しい</t>
  </si>
  <si>
    <t>全て</t>
    <rPh sb="0" eb="1">
      <t>スベ</t>
    </rPh>
    <phoneticPr fontId="1"/>
  </si>
  <si>
    <t>(複数)テキスト: 含む</t>
  </si>
  <si>
    <t>(複数)テキスト: 含まない</t>
  </si>
  <si>
    <t>(複数)テキスト: 次で終わる</t>
  </si>
  <si>
    <t>(複数)テキスト: 等しい</t>
  </si>
  <si>
    <t>(複数)テキスト: 等しくない</t>
  </si>
  <si>
    <t>(複数)テキスト: 含む(小文字)</t>
  </si>
  <si>
    <t>(複数)テキスト: 含まない(小文字)</t>
  </si>
  <si>
    <t>(複数)テキスト: 次で終わる(小文字)</t>
  </si>
  <si>
    <t>(複数)テキスト: 等しい(小文字)</t>
  </si>
  <si>
    <t>(複数)テキスト: 等しくない(小文字)</t>
  </si>
  <si>
    <t>テキスト: 含む</t>
  </si>
  <si>
    <t>テキスト: 含まない</t>
  </si>
  <si>
    <t>テキスト: 次で終わる</t>
  </si>
  <si>
    <t>テキスト: 等しくない</t>
  </si>
  <si>
    <t>テキスト: 含む(小文字)</t>
  </si>
  <si>
    <t>テキスト: 含まない(小文字)</t>
  </si>
  <si>
    <t>テキスト: 次で終わる(小文字)</t>
  </si>
  <si>
    <t>テキスト: 等しい(小文字)</t>
  </si>
  <si>
    <t>テキスト: 等しくない(小文字)</t>
  </si>
  <si>
    <t>数値: &lt;</t>
  </si>
  <si>
    <t>数値: &lt;=</t>
  </si>
  <si>
    <t>数値: =</t>
  </si>
  <si>
    <t>数値: &lt;&gt;</t>
  </si>
  <si>
    <t>数値: &gt;=</t>
  </si>
  <si>
    <t>数値: &gt;</t>
  </si>
  <si>
    <t>日付: &lt;</t>
  </si>
  <si>
    <t>日付: &lt;=</t>
  </si>
  <si>
    <t>日付: =</t>
  </si>
  <si>
    <t>日付: &lt;&gt;</t>
  </si>
  <si>
    <t>日付: &gt;=</t>
  </si>
  <si>
    <t>日付: &gt;</t>
  </si>
  <si>
    <t>(複数)数値: =</t>
    <rPh sb="1" eb="3">
      <t>フクスウ</t>
    </rPh>
    <phoneticPr fontId="1"/>
  </si>
  <si>
    <t>(複数)数値: &lt;&gt;</t>
    <phoneticPr fontId="1"/>
  </si>
  <si>
    <t>(複数)日付: =</t>
    <rPh sb="1" eb="3">
      <t>フクスウ</t>
    </rPh>
    <phoneticPr fontId="1"/>
  </si>
  <si>
    <t>(複数)日付: &lt;&gt;</t>
    <rPh sb="1" eb="3">
      <t>フクスウ</t>
    </rPh>
    <phoneticPr fontId="1"/>
  </si>
  <si>
    <t>(複数)テキスト: 次で始まる</t>
    <phoneticPr fontId="1"/>
  </si>
  <si>
    <t>(複数)テキスト: 次で始まる(小文字)</t>
    <phoneticPr fontId="1"/>
  </si>
  <si>
    <t>テキスト: 次で始まる</t>
    <phoneticPr fontId="1"/>
  </si>
  <si>
    <t>テキスト: 次で始まる(小文字)</t>
    <phoneticPr fontId="1"/>
  </si>
  <si>
    <t>.xlsm | sheet_name</t>
  </si>
  <si>
    <t>.xlsx | sheet_name</t>
  </si>
  <si>
    <t>.csv | tab | utf-16</t>
  </si>
  <si>
    <t>.csv | tab | utf-8</t>
  </si>
  <si>
    <t>.csv | tab | shift_jis</t>
  </si>
  <si>
    <t>.csv | ; | utf-16</t>
  </si>
  <si>
    <t>.csv | ; | utf-8</t>
  </si>
  <si>
    <t>.csv | , | utf-16</t>
  </si>
  <si>
    <t>.csv | , | utf-8</t>
  </si>
  <si>
    <t>.csv | , | shift_jis</t>
  </si>
  <si>
    <t>.csv | ; | shift_jis</t>
    <phoneticPr fontId="1"/>
  </si>
  <si>
    <t>tab</t>
    <phoneticPr fontId="1"/>
  </si>
  <si>
    <t>account_id</t>
    <phoneticPr fontId="1"/>
  </si>
  <si>
    <t>login_id</t>
    <phoneticPr fontId="1"/>
  </si>
  <si>
    <t>login_pw</t>
    <phoneticPr fontId="1"/>
  </si>
  <si>
    <t>template_id</t>
    <phoneticPr fontId="1"/>
  </si>
  <si>
    <t>report_type</t>
    <phoneticPr fontId="1"/>
  </si>
  <si>
    <t>{end_time}</t>
    <phoneticPr fontId="1"/>
  </si>
  <si>
    <t>business_id</t>
    <phoneticPr fontId="1"/>
  </si>
  <si>
    <t>optional_arguments</t>
  </si>
  <si>
    <t>ocid</t>
    <phoneticPr fontId="1"/>
  </si>
  <si>
    <t>template</t>
    <phoneticPr fontId="1"/>
  </si>
  <si>
    <t>login_pw</t>
  </si>
  <si>
    <t>campaign_status</t>
    <phoneticPr fontId="1"/>
  </si>
  <si>
    <t>{start_time}</t>
    <phoneticPr fontId="1"/>
  </si>
  <si>
    <t>{file_key}</t>
    <phoneticPr fontId="1"/>
  </si>
  <si>
    <t>{nav_stop}</t>
    <phoneticPr fontId="1"/>
  </si>
  <si>
    <t>カテゴリ未設定</t>
    <rPh sb="4" eb="7">
      <t>ミセッテイ</t>
    </rPh>
    <phoneticPr fontId="1"/>
  </si>
  <si>
    <t>{today}</t>
    <phoneticPr fontId="1"/>
  </si>
  <si>
    <t>{dl_start_time}</t>
    <phoneticPr fontId="1"/>
  </si>
  <si>
    <t>{dl_end_time}</t>
    <phoneticPr fontId="1"/>
  </si>
  <si>
    <t>{end_time+1}</t>
    <phoneticPr fontId="1"/>
  </si>
  <si>
    <t>{sheet}</t>
    <phoneticPr fontId="1"/>
  </si>
  <si>
    <t>{time}</t>
    <phoneticPr fontId="1"/>
  </si>
  <si>
    <t>再計算:IMP_COL</t>
    <rPh sb="0" eb="3">
      <t>サイケイサン</t>
    </rPh>
    <phoneticPr fontId="1"/>
  </si>
  <si>
    <t>継続用;CV_COL;1</t>
    <rPh sb="0" eb="2">
      <t>ケイゾク</t>
    </rPh>
    <rPh sb="2" eb="3">
      <t>ヨウ</t>
    </rPh>
    <phoneticPr fontId="1"/>
  </si>
  <si>
    <t>FileName</t>
    <phoneticPr fontId="1"/>
  </si>
  <si>
    <t>Mapping継続</t>
    <rPh sb="7" eb="9">
      <t>ケイゾク</t>
    </rPh>
    <phoneticPr fontId="1"/>
  </si>
  <si>
    <t>MappingRank</t>
    <phoneticPr fontId="1"/>
  </si>
  <si>
    <t>↔</t>
  </si>
  <si>
    <t>text có chứa</t>
  </si>
  <si>
    <t>text không bao gồm</t>
  </si>
  <si>
    <t>text băt đầu bằng</t>
  </si>
  <si>
    <t>text kết thúc bằng</t>
  </si>
  <si>
    <t>text bằng</t>
  </si>
  <si>
    <t>text không bằng</t>
  </si>
  <si>
    <t xml:space="preserve"> text có chứa</t>
  </si>
  <si>
    <t xml:space="preserve"> text không bao gồm</t>
  </si>
  <si>
    <t xml:space="preserve"> text băt đầu bằng</t>
  </si>
  <si>
    <t xml:space="preserve"> text kết thúc bằng</t>
  </si>
  <si>
    <t xml:space="preserve"> text bằng</t>
  </si>
  <si>
    <t xml:space="preserve"> text không bằng</t>
  </si>
  <si>
    <t>複数: xuống dòng để thêm điều kiện</t>
    <rPh sb="0" eb="2">
      <t>フクスウ</t>
    </rPh>
    <phoneticPr fontId="1"/>
  </si>
  <si>
    <t>điền 期間 vào SummaryTitle</t>
    <rPh sb="5" eb="7">
      <t>キカン</t>
    </rPh>
    <phoneticPr fontId="1"/>
  </si>
  <si>
    <t>Sort_Keys, Không bôi trắng Summary</t>
    <phoneticPr fontId="1"/>
  </si>
  <si>
    <r>
      <t>小文字: không phân biệt in hoa th</t>
    </r>
    <r>
      <rPr>
        <sz val="10"/>
        <color theme="1"/>
        <rFont val="Segoe UI"/>
        <family val="2"/>
        <charset val="238"/>
      </rPr>
      <t>ư</t>
    </r>
    <r>
      <rPr>
        <sz val="10"/>
        <color theme="1"/>
        <rFont val="メイリオ"/>
        <family val="3"/>
        <charset val="128"/>
      </rPr>
      <t>ờng</t>
    </r>
    <rPh sb="0" eb="3">
      <t>コモジ</t>
    </rPh>
    <phoneticPr fontId="1"/>
  </si>
  <si>
    <r>
      <t>{today|</t>
    </r>
    <r>
      <rPr>
        <sz val="10"/>
        <color rgb="FF6A8759"/>
        <rFont val="メイリオ"/>
        <family val="3"/>
        <charset val="128"/>
      </rPr>
      <t>締め分}</t>
    </r>
    <phoneticPr fontId="1"/>
  </si>
  <si>
    <r>
      <t>{today|</t>
    </r>
    <r>
      <rPr>
        <sz val="10"/>
        <color rgb="FF6A8759"/>
        <rFont val="メイリオ"/>
        <family val="3"/>
        <charset val="128"/>
      </rPr>
      <t>〆分}</t>
    </r>
    <phoneticPr fontId="1"/>
  </si>
  <si>
    <r>
      <t>{end_time+1|</t>
    </r>
    <r>
      <rPr>
        <sz val="10"/>
        <color rgb="FF6A8759"/>
        <rFont val="メイリオ"/>
        <family val="3"/>
        <charset val="128"/>
      </rPr>
      <t>〆分}</t>
    </r>
    <phoneticPr fontId="1"/>
  </si>
  <si>
    <r>
      <t>{end_time+1|</t>
    </r>
    <r>
      <rPr>
        <sz val="10"/>
        <color rgb="FF6A8759"/>
        <rFont val="メイリオ"/>
        <family val="3"/>
        <charset val="128"/>
      </rPr>
      <t>締め分}</t>
    </r>
    <phoneticPr fontId="1"/>
  </si>
  <si>
    <r>
      <t>đi</t>
    </r>
    <r>
      <rPr>
        <sz val="10"/>
        <color theme="1"/>
        <rFont val="Calibri"/>
        <family val="2"/>
      </rPr>
      <t>ề</t>
    </r>
    <r>
      <rPr>
        <sz val="10"/>
        <color theme="1"/>
        <rFont val="メイリオ"/>
        <family val="3"/>
        <charset val="128"/>
      </rPr>
      <t>n sheet_key vào Summary Title</t>
    </r>
    <phoneticPr fontId="1"/>
  </si>
  <si>
    <t>1_Operation</t>
  </si>
  <si>
    <t>Report階層</t>
    <phoneticPr fontId="1"/>
  </si>
  <si>
    <t>Report集計間隔</t>
    <phoneticPr fontId="1"/>
  </si>
  <si>
    <t>Report集計単位</t>
    <phoneticPr fontId="1"/>
  </si>
  <si>
    <t>Report集計対象</t>
    <phoneticPr fontId="1"/>
  </si>
  <si>
    <t>Report削除済みの項目</t>
    <phoneticPr fontId="1"/>
  </si>
  <si>
    <t>Calculate</t>
  </si>
  <si>
    <t>Project</t>
    <phoneticPr fontId="1"/>
  </si>
  <si>
    <t>Memo</t>
    <phoneticPr fontId="1"/>
  </si>
  <si>
    <t>File_name</t>
    <phoneticPr fontId="1"/>
  </si>
  <si>
    <t>dimensions</t>
    <phoneticPr fontId="1"/>
  </si>
  <si>
    <t>metrics</t>
    <phoneticPr fontId="1"/>
  </si>
  <si>
    <t>Tool</t>
    <phoneticPr fontId="1"/>
  </si>
  <si>
    <t>RPA_Folder</t>
    <phoneticPr fontId="1"/>
  </si>
  <si>
    <t>ファイル数</t>
    <rPh sb="4" eb="5">
      <t>カズ</t>
    </rPh>
    <phoneticPr fontId="1"/>
  </si>
  <si>
    <t>Get_Folders</t>
    <phoneticPr fontId="1"/>
  </si>
  <si>
    <t>get_what</t>
    <phoneticPr fontId="1"/>
  </si>
  <si>
    <t>time_zone</t>
    <phoneticPr fontId="1"/>
  </si>
  <si>
    <t>agent_id</t>
    <phoneticPr fontId="1"/>
  </si>
  <si>
    <t>group_by</t>
    <phoneticPr fontId="1"/>
  </si>
  <si>
    <t>account_type</t>
    <phoneticPr fontId="1"/>
  </si>
  <si>
    <t>view_cv</t>
    <phoneticPr fontId="1"/>
  </si>
  <si>
    <t>metrics</t>
  </si>
  <si>
    <t>attribution</t>
    <phoneticPr fontId="1"/>
  </si>
  <si>
    <t>currency</t>
    <phoneticPr fontId="1"/>
  </si>
  <si>
    <t>columns</t>
    <phoneticPr fontId="1"/>
  </si>
  <si>
    <t>optionals</t>
    <phoneticPr fontId="1"/>
  </si>
  <si>
    <t>campaign</t>
  </si>
  <si>
    <t>キャンペーン名</t>
  </si>
  <si>
    <t>Campaign</t>
  </si>
  <si>
    <t>インプレッション数</t>
  </si>
  <si>
    <t>クリック数</t>
  </si>
  <si>
    <t>合計コスト</t>
  </si>
  <si>
    <t>コンバージョン数</t>
  </si>
  <si>
    <t>YSS</t>
  </si>
  <si>
    <t>YDN</t>
  </si>
  <si>
    <t>YDN(old)</t>
  </si>
  <si>
    <t>YDN(old)_総CV</t>
    <rPh sb="9" eb="12">
      <t>ソウ</t>
    </rPh>
    <phoneticPr fontId="1"/>
  </si>
  <si>
    <t>Google</t>
  </si>
  <si>
    <t>LINE</t>
  </si>
  <si>
    <t>Logicad</t>
  </si>
  <si>
    <t>ASA_EN</t>
  </si>
  <si>
    <t>ASA_JP</t>
  </si>
  <si>
    <t>Criteo_EN</t>
  </si>
  <si>
    <t>Criteo_JP</t>
  </si>
  <si>
    <t>Facebook</t>
  </si>
  <si>
    <t>Twitter</t>
  </si>
  <si>
    <t>CAD</t>
  </si>
  <si>
    <t>YDN_New</t>
  </si>
  <si>
    <t>Bytedance</t>
  </si>
  <si>
    <t>SmartNews</t>
  </si>
  <si>
    <t>Dynalyst</t>
  </si>
  <si>
    <t>AmoAd</t>
  </si>
  <si>
    <t>Afio</t>
  </si>
  <si>
    <t>imobile</t>
  </si>
  <si>
    <t>nend</t>
  </si>
  <si>
    <t>Ameba</t>
  </si>
  <si>
    <t>Gunosy</t>
  </si>
  <si>
    <t>Facebook888</t>
  </si>
  <si>
    <t>RTBHouse</t>
  </si>
  <si>
    <t>Facebook699</t>
  </si>
  <si>
    <t>Facebook375</t>
  </si>
  <si>
    <t>Facebook1246</t>
  </si>
  <si>
    <t>Facebook1458</t>
  </si>
  <si>
    <t>CAD194</t>
  </si>
  <si>
    <t>CAD1813</t>
  </si>
  <si>
    <t>Dynalyst1175</t>
  </si>
  <si>
    <t>AmoAd1175</t>
  </si>
  <si>
    <t>CAD92</t>
  </si>
  <si>
    <t>キャンペーン</t>
  </si>
  <si>
    <t>Campaign Name</t>
  </si>
  <si>
    <t>NAME</t>
  </si>
  <si>
    <t>cabi_media_name</t>
  </si>
  <si>
    <t>campaign_name</t>
  </si>
  <si>
    <t>サイト名</t>
  </si>
  <si>
    <t>プロモーション名</t>
  </si>
  <si>
    <t>category</t>
  </si>
  <si>
    <t>インプレッション数（旧）</t>
  </si>
  <si>
    <t>表示回数</t>
  </si>
  <si>
    <t>Imp</t>
  </si>
  <si>
    <t>Impressions</t>
  </si>
  <si>
    <t>IMPRESSIONS</t>
  </si>
  <si>
    <t>インプレッション</t>
  </si>
  <si>
    <t>impression</t>
  </si>
  <si>
    <t>show_cnt</t>
  </si>
  <si>
    <t>imp</t>
  </si>
  <si>
    <t>UE</t>
  </si>
  <si>
    <t>IMP数</t>
  </si>
  <si>
    <t>inview</t>
  </si>
  <si>
    <t>IMP</t>
  </si>
  <si>
    <t>impsCount</t>
  </si>
  <si>
    <t>Click</t>
  </si>
  <si>
    <t>Taps</t>
  </si>
  <si>
    <t>タップ数</t>
    <rPh sb="3" eb="4">
      <t>スウ</t>
    </rPh>
    <phoneticPr fontId="1"/>
  </si>
  <si>
    <t>CLICKS</t>
  </si>
  <si>
    <t>リンクのクリック</t>
  </si>
  <si>
    <t>リンクのクリック数</t>
  </si>
  <si>
    <t>click</t>
  </si>
  <si>
    <t>clicks</t>
  </si>
  <si>
    <t>click_cnt</t>
  </si>
  <si>
    <t>クリック回数</t>
  </si>
  <si>
    <t>CL数</t>
  </si>
  <si>
    <t>CLICK</t>
  </si>
  <si>
    <t>clicksCount</t>
  </si>
  <si>
    <t>コスト</t>
  </si>
  <si>
    <t>費用</t>
  </si>
  <si>
    <t>ご利用金額</t>
  </si>
  <si>
    <t>消化金額</t>
  </si>
  <si>
    <t>Spend</t>
  </si>
  <si>
    <t>支出</t>
    <rPh sb="0" eb="2">
      <t>シシュツ</t>
    </rPh>
    <phoneticPr fontId="1"/>
  </si>
  <si>
    <t>COST</t>
  </si>
  <si>
    <t>消化金額 (JPY)</t>
  </si>
  <si>
    <t>cost</t>
  </si>
  <si>
    <t>stat_cost</t>
  </si>
  <si>
    <t>Cost</t>
  </si>
  <si>
    <t>利用金額</t>
  </si>
  <si>
    <t>ご利用金額 (税抜)</t>
  </si>
  <si>
    <t>cost(¥)</t>
  </si>
  <si>
    <t>campaignCost</t>
  </si>
  <si>
    <t>Spend(JPY)</t>
  </si>
  <si>
    <t>コンバージョン数（全て）</t>
  </si>
  <si>
    <t>コンバージョン</t>
  </si>
  <si>
    <t>CV</t>
  </si>
  <si>
    <t>Installs</t>
  </si>
  <si>
    <t>SALES</t>
  </si>
  <si>
    <t>予約完了</t>
  </si>
  <si>
    <t>conversion</t>
  </si>
  <si>
    <t>convert_cnt</t>
  </si>
  <si>
    <t>UU</t>
  </si>
  <si>
    <t>CV数</t>
  </si>
  <si>
    <t>ウェブサイト購入 [クリックの1日後]</t>
  </si>
  <si>
    <t>conversionsCount</t>
  </si>
  <si>
    <t>アプリのインストール</t>
  </si>
  <si>
    <t>サンクスページ合算</t>
  </si>
  <si>
    <t>媒体CV</t>
    <rPh sb="0" eb="2">
      <t>バイタイ</t>
    </rPh>
    <phoneticPr fontId="1"/>
  </si>
  <si>
    <t>open</t>
  </si>
  <si>
    <t>cad_id</t>
    <phoneticPr fontId="1"/>
  </si>
  <si>
    <t>2_Operation</t>
    <phoneticPr fontId="1"/>
  </si>
  <si>
    <t>AccountID</t>
  </si>
  <si>
    <t>ON</t>
  </si>
  <si>
    <t>Status(ON)</t>
  </si>
  <si>
    <t>媒体CV</t>
  </si>
  <si>
    <t>Project</t>
  </si>
  <si>
    <t>LoginID</t>
  </si>
  <si>
    <t>LoginPW</t>
  </si>
  <si>
    <t>Memo</t>
  </si>
  <si>
    <t>ReturnVal</t>
  </si>
  <si>
    <t>NewMedia</t>
  </si>
  <si>
    <t>3_Operation</t>
  </si>
  <si>
    <t>CPN</t>
  </si>
  <si>
    <t>COST(gross)</t>
  </si>
  <si>
    <t>Key</t>
  </si>
  <si>
    <t>COST(net)</t>
  </si>
  <si>
    <t>Type</t>
  </si>
  <si>
    <t>Time</t>
  </si>
  <si>
    <t>totalVideoConversions</t>
  </si>
  <si>
    <t>CAD_Raw</t>
  </si>
  <si>
    <t>media_id</t>
  </si>
  <si>
    <t>インストール - ポストエンゲージメント</t>
  </si>
  <si>
    <t>Twitter_1753</t>
    <phoneticPr fontId="1"/>
  </si>
  <si>
    <t>Unicorn</t>
  </si>
  <si>
    <t>Spends</t>
  </si>
  <si>
    <t>Clicks</t>
  </si>
  <si>
    <t>Twitter_108</t>
    <phoneticPr fontId="1"/>
  </si>
  <si>
    <t>クリック</t>
  </si>
  <si>
    <t>2373</t>
  </si>
  <si>
    <t>dl_excel</t>
  </si>
  <si>
    <t>day,campaign</t>
  </si>
  <si>
    <t>Active,NotRunning</t>
  </si>
  <si>
    <t>JPY</t>
  </si>
  <si>
    <t>UTC</t>
  </si>
  <si>
    <t>Criteo_JP_2373</t>
  </si>
  <si>
    <t>Criteo_JP_2373</t>
    <phoneticPr fontId="1"/>
  </si>
  <si>
    <t>display_sekkei@ext.cyberagent.co.jp</t>
  </si>
  <si>
    <t>caad-dsp2014</t>
  </si>
  <si>
    <t>displays,clicks,cost,sales,revenue</t>
    <phoneticPr fontId="1"/>
  </si>
  <si>
    <t>クリックスルー30日以内</t>
  </si>
  <si>
    <t>コンバージョン件数 （ND）</t>
  </si>
  <si>
    <t>campaignName</t>
  </si>
  <si>
    <t>AccountID_RPA</t>
  </si>
  <si>
    <t>Date_RPA</t>
  </si>
  <si>
    <t>粒度ID1_RPA</t>
  </si>
  <si>
    <t>External_CAD_2380</t>
    <phoneticPr fontId="1"/>
  </si>
  <si>
    <t>Google</t>
    <phoneticPr fontId="1"/>
  </si>
  <si>
    <t>Yahoo</t>
  </si>
  <si>
    <t>Yahoo</t>
    <phoneticPr fontId="1"/>
  </si>
  <si>
    <t>ON</t>
    <phoneticPr fontId="1"/>
  </si>
  <si>
    <t>get_campaigns</t>
  </si>
  <si>
    <t>Yahoo!</t>
  </si>
  <si>
    <t>inion5789fedora</t>
  </si>
  <si>
    <t>+0900</t>
  </si>
  <si>
    <t>Docomo</t>
  </si>
  <si>
    <t>GDN</t>
  </si>
  <si>
    <t>get_campaigns_new</t>
  </si>
  <si>
    <t>603-900-7802</t>
  </si>
  <si>
    <t>603-900-7802</t>
    <phoneticPr fontId="1"/>
  </si>
  <si>
    <t>GMDSL_06_保険相談
GMDSL_07_Performance Max</t>
    <phoneticPr fontId="1"/>
  </si>
  <si>
    <t>931-965-0416</t>
  </si>
  <si>
    <t>931-965-0416</t>
    <phoneticPr fontId="1"/>
  </si>
  <si>
    <t>GDN_DSK■SP_会って相談
GDN_RM■PC_会って相談
GDN_RM■SP_会って相談</t>
    <phoneticPr fontId="1"/>
  </si>
  <si>
    <t>1001530449</t>
  </si>
  <si>
    <t>1001530449</t>
    <phoneticPr fontId="1"/>
  </si>
  <si>
    <t>YDN_RTG_SP_会って相談
YDN_RTG_PCTB_会って相談
YIF_RTG_PCTB_会って相談
YIF_RTG_SP_会って相談</t>
    <phoneticPr fontId="1"/>
  </si>
  <si>
    <t>YMDSL_06_保険相談</t>
  </si>
  <si>
    <t>orixlife@amoad.com</t>
    <phoneticPr fontId="1"/>
  </si>
  <si>
    <t>X-Listing</t>
  </si>
  <si>
    <t>A47746113910</t>
  </si>
  <si>
    <t>A47746113910</t>
    <phoneticPr fontId="1"/>
  </si>
  <si>
    <t>LINE AD MANAGER</t>
  </si>
  <si>
    <t>Yahoo!BSA</t>
  </si>
  <si>
    <t>fujiwara_kouji@cyberagent.co.jp</t>
  </si>
  <si>
    <t>DocomoADNW</t>
  </si>
  <si>
    <t>{COST(net)}*1.2</t>
    <phoneticPr fontId="1"/>
  </si>
  <si>
    <t>{COST(net)}/0.85</t>
    <phoneticPr fontId="1"/>
  </si>
  <si>
    <t>{COST(net)}/0.8</t>
    <phoneticPr fontId="1"/>
  </si>
  <si>
    <t>3</t>
  </si>
  <si>
    <t>3</t>
    <phoneticPr fontId="1"/>
  </si>
  <si>
    <t>cana@ext.cyberagent.co.jp</t>
  </si>
  <si>
    <t>T39aCWH7bOU2</t>
  </si>
  <si>
    <t>&amp;creative=false&amp;media=false</t>
  </si>
  <si>
    <t>lap_report@cyberagent.co.jp</t>
  </si>
  <si>
    <t>dl_report</t>
  </si>
  <si>
    <t>日別</t>
  </si>
  <si>
    <t>全体</t>
  </si>
  <si>
    <t>含める</t>
  </si>
  <si>
    <t>Campaign name</t>
  </si>
  <si>
    <t>cv</t>
  </si>
  <si>
    <t>client_id</t>
    <phoneticPr fontId="1"/>
  </si>
  <si>
    <t>template_name</t>
    <phoneticPr fontId="1"/>
  </si>
  <si>
    <t>account_ids</t>
    <phoneticPr fontId="1"/>
  </si>
  <si>
    <t>report_format</t>
  </si>
  <si>
    <t>cost_fee</t>
    <phoneticPr fontId="1"/>
  </si>
  <si>
    <t>device_type</t>
  </si>
  <si>
    <t>report_elem</t>
    <phoneticPr fontId="1"/>
  </si>
  <si>
    <t>external_cvs</t>
    <phoneticPr fontId="1"/>
  </si>
  <si>
    <t>__Flag</t>
    <phoneticPr fontId="1"/>
  </si>
  <si>
    <t>ON指定</t>
    <rPh sb="2" eb="4">
      <t>シテイ</t>
    </rPh>
    <phoneticPr fontId="1"/>
  </si>
  <si>
    <t>必須</t>
    <rPh sb="0" eb="2">
      <t>ヒッス</t>
    </rPh>
    <phoneticPr fontId="1"/>
  </si>
  <si>
    <t>必須</t>
    <rPh sb="0" eb="2">
      <t>ヒッスウ</t>
    </rPh>
    <phoneticPr fontId="1"/>
  </si>
  <si>
    <t>Filename用</t>
    <rPh sb="8" eb="9">
      <t>ヨウ</t>
    </rPh>
    <phoneticPr fontId="1"/>
  </si>
  <si>
    <t>SearchSuite</t>
    <phoneticPr fontId="1"/>
  </si>
  <si>
    <t>Test</t>
    <phoneticPr fontId="1"/>
  </si>
  <si>
    <t>実績</t>
    <rPh sb="0" eb="2">
      <t>ジッセキ</t>
    </rPh>
    <phoneticPr fontId="1"/>
  </si>
  <si>
    <t>985-898-6385;570578</t>
    <phoneticPr fontId="1"/>
  </si>
  <si>
    <t>daily</t>
  </si>
  <si>
    <t>20</t>
    <phoneticPr fontId="1"/>
  </si>
  <si>
    <t>PC / TAB / SP / TV</t>
  </si>
  <si>
    <t>component | ad</t>
  </si>
  <si>
    <t>all_structure</t>
  </si>
  <si>
    <t>[WebAntenna]1.1 教室検索からの詳細ページ(CV);[WebAntenna]1.5 お知らせメール登録_生徒(CV)</t>
    <phoneticPr fontId="1"/>
  </si>
  <si>
    <t>CAD_3</t>
  </si>
  <si>
    <t>CAD_3_1</t>
  </si>
  <si>
    <t>Cube</t>
  </si>
  <si>
    <t>adaccount id</t>
  </si>
  <si>
    <t>実績日</t>
  </si>
  <si>
    <t>campaign name</t>
  </si>
  <si>
    <t>cv_資料請求</t>
  </si>
  <si>
    <t>cv_申込</t>
  </si>
  <si>
    <t>cv_会って相談</t>
  </si>
  <si>
    <t>cv_ブリッジ</t>
  </si>
  <si>
    <t>cv_キュア</t>
  </si>
  <si>
    <t>cv_キュアレディ</t>
  </si>
  <si>
    <t>cv_キュアサポート</t>
  </si>
  <si>
    <t>cv_ライズ</t>
  </si>
  <si>
    <t>cv_ビリーブ</t>
  </si>
  <si>
    <t>cv_リリーフW</t>
  </si>
  <si>
    <t>cv_キープ</t>
  </si>
  <si>
    <t>cv_キュア・サポート・プラス</t>
  </si>
  <si>
    <t>cv_ファイン・サポート・プラス</t>
  </si>
  <si>
    <t>cv_ライズ・サポート・プラス</t>
  </si>
  <si>
    <t>cv_資料請求a</t>
    <phoneticPr fontId="1"/>
  </si>
  <si>
    <t>cv_資料請求b</t>
    <phoneticPr fontId="1"/>
  </si>
  <si>
    <t>cv_申込a</t>
    <phoneticPr fontId="1"/>
  </si>
  <si>
    <t>cv_申込b</t>
    <phoneticPr fontId="1"/>
  </si>
  <si>
    <t>cv_会って相談a</t>
    <phoneticPr fontId="1"/>
  </si>
  <si>
    <t>cv_会って相談b</t>
    <phoneticPr fontId="1"/>
  </si>
  <si>
    <t>cv_ブリッジa</t>
    <phoneticPr fontId="1"/>
  </si>
  <si>
    <t>cv_ブリッジb</t>
    <phoneticPr fontId="1"/>
  </si>
  <si>
    <t>cv_キュアa</t>
    <phoneticPr fontId="1"/>
  </si>
  <si>
    <t>cv_キュアb</t>
    <phoneticPr fontId="1"/>
  </si>
  <si>
    <t>cv_キュアレディa</t>
    <phoneticPr fontId="1"/>
  </si>
  <si>
    <t>cv_キュアレディb</t>
    <phoneticPr fontId="1"/>
  </si>
  <si>
    <t>cv_キュアサポートa</t>
    <phoneticPr fontId="1"/>
  </si>
  <si>
    <t>cv_キュアサポートb</t>
    <phoneticPr fontId="1"/>
  </si>
  <si>
    <t>cv_リリーフWa</t>
    <phoneticPr fontId="1"/>
  </si>
  <si>
    <t>cv_リリーフWb</t>
    <phoneticPr fontId="1"/>
  </si>
  <si>
    <t>cv_ビリーブa</t>
    <phoneticPr fontId="1"/>
  </si>
  <si>
    <t>cv_ビリーブb</t>
    <phoneticPr fontId="1"/>
  </si>
  <si>
    <t>cv_キープa</t>
    <phoneticPr fontId="1"/>
  </si>
  <si>
    <t>cv_キープb</t>
    <phoneticPr fontId="1"/>
  </si>
  <si>
    <t>media_id</t>
    <phoneticPr fontId="1"/>
  </si>
  <si>
    <t>media</t>
    <phoneticPr fontId="1"/>
  </si>
  <si>
    <t>layer</t>
    <phoneticPr fontId="1"/>
  </si>
  <si>
    <t>to_yen</t>
    <phoneticPr fontId="1"/>
  </si>
  <si>
    <t>__Media</t>
    <phoneticPr fontId="1"/>
  </si>
  <si>
    <t>Cube_ASA</t>
    <phoneticPr fontId="1"/>
  </si>
  <si>
    <t>ALL</t>
    <phoneticPr fontId="1"/>
  </si>
  <si>
    <t>Apple Search Ads</t>
  </si>
  <si>
    <t>円置換</t>
  </si>
  <si>
    <t>ASA</t>
    <phoneticPr fontId="1"/>
  </si>
  <si>
    <t>Cube</t>
    <phoneticPr fontId="1"/>
  </si>
  <si>
    <t>【RPA】LINE AD MANAGER</t>
  </si>
  <si>
    <t>LINE</t>
    <phoneticPr fontId="1"/>
  </si>
  <si>
    <t>064817-001-001</t>
  </si>
  <si>
    <t>資料請求</t>
  </si>
  <si>
    <t>CAD_資料請求</t>
  </si>
  <si>
    <t>CAD_申込完了</t>
  </si>
  <si>
    <t>External_CAD_3</t>
  </si>
  <si>
    <t>External_CAD_3</t>
    <phoneticPr fontId="1"/>
  </si>
  <si>
    <t>粒度Name1_RPA</t>
  </si>
  <si>
    <t>RPA_17</t>
    <phoneticPr fontId="1"/>
  </si>
  <si>
    <t>RPA_資料請求</t>
  </si>
  <si>
    <t>cv_資料請求c</t>
    <phoneticPr fontId="1"/>
  </si>
  <si>
    <t>RPA_31</t>
    <phoneticPr fontId="1"/>
  </si>
  <si>
    <t>cv_申込c</t>
    <phoneticPr fontId="1"/>
  </si>
  <si>
    <t>RPA_申込完了</t>
    <phoneticPr fontId="1"/>
  </si>
  <si>
    <t>RPA_3</t>
    <phoneticPr fontId="1"/>
  </si>
  <si>
    <t>RPA_20</t>
    <phoneticPr fontId="1"/>
  </si>
  <si>
    <t>RPA_5</t>
    <phoneticPr fontId="1"/>
  </si>
  <si>
    <t>RPA_22</t>
    <phoneticPr fontId="1"/>
  </si>
  <si>
    <t>RPA_6</t>
    <phoneticPr fontId="1"/>
  </si>
  <si>
    <t>RPA_23</t>
    <phoneticPr fontId="1"/>
  </si>
  <si>
    <t>RPA_2</t>
    <phoneticPr fontId="1"/>
  </si>
  <si>
    <t>RPA_8</t>
    <phoneticPr fontId="1"/>
  </si>
  <si>
    <t>RPA_25</t>
    <phoneticPr fontId="1"/>
  </si>
  <si>
    <t>RPA_7</t>
    <phoneticPr fontId="1"/>
  </si>
  <si>
    <t>RPA_24</t>
    <phoneticPr fontId="1"/>
  </si>
  <si>
    <t>RPA_4</t>
    <phoneticPr fontId="1"/>
  </si>
  <si>
    <t>RPA_21</t>
    <phoneticPr fontId="1"/>
  </si>
  <si>
    <t>RPA_28</t>
    <phoneticPr fontId="1"/>
  </si>
  <si>
    <t>RPA_30</t>
    <phoneticPr fontId="1"/>
  </si>
  <si>
    <t>RPA_29</t>
    <phoneticPr fontId="1"/>
  </si>
  <si>
    <t>{cv_会って相談a}+{cv_会って相談b}</t>
    <phoneticPr fontId="1"/>
  </si>
  <si>
    <t>{cv_ブリッジa}+{cv_ブリッジb}</t>
    <phoneticPr fontId="1"/>
  </si>
  <si>
    <t>{cv_キュアa}+{cv_キュアb}</t>
    <phoneticPr fontId="1"/>
  </si>
  <si>
    <t>{cv_キュアレディa}+{cv_キュアレディb}</t>
    <phoneticPr fontId="1"/>
  </si>
  <si>
    <t>{cv_キュアサポートa}+{cv_キュアサポートb}</t>
    <phoneticPr fontId="1"/>
  </si>
  <si>
    <t>{cv_ビリーブa}+{cv_ビリーブb}</t>
    <phoneticPr fontId="1"/>
  </si>
  <si>
    <t>{cv_リリーフWa}+{cv_リリーフWb}</t>
    <phoneticPr fontId="1"/>
  </si>
  <si>
    <t>{cv_キープa}+{cv_キープb}</t>
    <phoneticPr fontId="1"/>
  </si>
  <si>
    <t>ADEbis</t>
  </si>
  <si>
    <t>DT0117_Thao Van_ ORIX_064817-001-001_S</t>
  </si>
  <si>
    <t>蓄積</t>
    <rPh sb="0" eb="2">
      <t>チ</t>
    </rPh>
    <phoneticPr fontId="1"/>
  </si>
  <si>
    <t>CAD_3</t>
    <phoneticPr fontId="1"/>
  </si>
  <si>
    <t>1033</t>
  </si>
  <si>
    <t>External_Google</t>
  </si>
  <si>
    <t>External_Google</t>
    <phoneticPr fontId="1"/>
  </si>
  <si>
    <t>External_YDN</t>
  </si>
  <si>
    <t>External_YDN</t>
    <phoneticPr fontId="1"/>
  </si>
  <si>
    <t>External_YSS</t>
  </si>
  <si>
    <t>External_YSS</t>
    <phoneticPr fontId="1"/>
  </si>
  <si>
    <t>External_Docomo</t>
  </si>
  <si>
    <t>External_Docomo</t>
    <phoneticPr fontId="1"/>
  </si>
  <si>
    <t>External_LINE</t>
  </si>
  <si>
    <t>External_LINE</t>
    <phoneticPr fontId="1"/>
  </si>
  <si>
    <t>External_SmartNews</t>
  </si>
  <si>
    <t>External_SmartNews</t>
    <phoneticPr fontId="1"/>
  </si>
  <si>
    <t>External_【手動】Yahoo!BSA</t>
  </si>
  <si>
    <t>bsa_0001</t>
  </si>
  <si>
    <t>{cv_資料請求a}+{cv_資料請求b}</t>
    <phoneticPr fontId="1"/>
  </si>
  <si>
    <t>{cv_資料請求c}</t>
    <phoneticPr fontId="1"/>
  </si>
  <si>
    <t>{cv_申込a}+{cv_申込b}</t>
    <phoneticPr fontId="1"/>
  </si>
  <si>
    <t>{cv_申込c}</t>
    <phoneticPr fontId="1"/>
  </si>
  <si>
    <t>xls_k7s8jn</t>
  </si>
  <si>
    <t>未設定</t>
  </si>
  <si>
    <t>Facebook_3</t>
  </si>
  <si>
    <t>Facebook_3</t>
    <phoneticPr fontId="1"/>
  </si>
  <si>
    <t>343641689132088</t>
  </si>
  <si>
    <t>結果</t>
  </si>
  <si>
    <t>574724986023756</t>
  </si>
  <si>
    <t>External_Facebook</t>
  </si>
  <si>
    <t>External_Facebook</t>
    <phoneticPr fontId="1"/>
  </si>
  <si>
    <t>CA-574724986023756</t>
  </si>
  <si>
    <t>953912518866061</t>
    <phoneticPr fontId="1"/>
  </si>
  <si>
    <t>Orixlife2021=</t>
  </si>
  <si>
    <t>&amp;columns=name,campaign_group_name,results,actions:link_click,impressions,spend&amp;attribution_windows=default</t>
  </si>
  <si>
    <t>Gunosy</t>
    <phoneticPr fontId="1"/>
  </si>
  <si>
    <t>orixlife@amoad.com</t>
  </si>
  <si>
    <t>W2TfVvKLNdrZ</t>
  </si>
  <si>
    <t>External_Gunosy</t>
    <phoneticPr fontId="1"/>
  </si>
  <si>
    <t>{COST(net)}*1.23</t>
    <phoneticPr fontId="1"/>
  </si>
  <si>
    <t>External_docomo Ad Network</t>
  </si>
  <si>
    <t>External_docomo Ad Network</t>
    <phoneticPr fontId="1"/>
  </si>
  <si>
    <t>doan_thi_kim_huong@ca-adv.co.jp</t>
    <phoneticPr fontId="1"/>
  </si>
  <si>
    <t>cscImpressions</t>
  </si>
  <si>
    <t>RPA_26</t>
    <phoneticPr fontId="1"/>
  </si>
  <si>
    <t>RPA_A</t>
    <phoneticPr fontId="1"/>
  </si>
  <si>
    <t>RPA_C</t>
    <phoneticPr fontId="1"/>
  </si>
  <si>
    <t>RPA_B</t>
    <phoneticPr fontId="1"/>
  </si>
  <si>
    <t>RPA_D</t>
    <phoneticPr fontId="1"/>
  </si>
  <si>
    <t>想定NBAP</t>
  </si>
  <si>
    <t>({cv_資料請求a}+{cv_資料請求b})*0.17*0.776*74348+({cv_申込a}+{cv_申込b})*0.795*55513</t>
    <phoneticPr fontId="1"/>
  </si>
  <si>
    <t>{cv_資料請求c}*0.17*0.776*74348+{cv_申込c}*0.795*55513</t>
    <phoneticPr fontId="1"/>
  </si>
  <si>
    <t>OsidOri</t>
  </si>
  <si>
    <t>IntimateMerger</t>
  </si>
  <si>
    <t>custella</t>
  </si>
  <si>
    <t>auホットインフォ</t>
  </si>
  <si>
    <t>Softbankお知らせメール</t>
  </si>
  <si>
    <r>
      <t>External_</t>
    </r>
    <r>
      <rPr>
        <sz val="10"/>
        <color theme="1"/>
        <rFont val="ＭＳ ゴシック"/>
        <family val="3"/>
        <charset val="128"/>
      </rPr>
      <t>【手動】</t>
    </r>
    <r>
      <rPr>
        <sz val="10"/>
        <color theme="1"/>
        <rFont val="Arial"/>
        <family val="2"/>
      </rPr>
      <t>custella</t>
    </r>
    <phoneticPr fontId="1"/>
  </si>
  <si>
    <t>External_【手動】custella</t>
    <phoneticPr fontId="1"/>
  </si>
  <si>
    <t>External_【手動】Yahoo!BSA
External_Docomo
External_LINE
External_SmartNews
External_Facebook
External_Gunosy
External_docomo Ad Network
External_【手動】custella</t>
    <phoneticPr fontId="1"/>
  </si>
  <si>
    <t>ads</t>
  </si>
  <si>
    <t>tran_le_bich_lieu@ca-adv.co.jp</t>
  </si>
  <si>
    <t>External_【手動】custella</t>
  </si>
  <si>
    <t xml:space="preserve"> </t>
    <phoneticPr fontId="1"/>
  </si>
  <si>
    <t>re_download</t>
    <phoneticPr fontId="1"/>
  </si>
  <si>
    <t>account_name</t>
    <phoneticPr fontId="1"/>
  </si>
  <si>
    <t>start_time</t>
    <phoneticPr fontId="1"/>
  </si>
  <si>
    <t>Scheduler_WeekDay</t>
    <phoneticPr fontId="1"/>
  </si>
  <si>
    <t>Scheduler_Time</t>
    <phoneticPr fontId="1"/>
  </si>
  <si>
    <t>Custom_Info</t>
    <phoneticPr fontId="1"/>
  </si>
  <si>
    <t>Chatwork_Group</t>
    <phoneticPr fontId="1"/>
  </si>
  <si>
    <t>Chatwork_To</t>
    <phoneticPr fontId="1"/>
  </si>
  <si>
    <t>792-900-8029</t>
    <phoneticPr fontId="1"/>
  </si>
  <si>
    <t>オリックス・クレジット株式会社(VIP/G_検索_MD_VIPローンカード)</t>
    <phoneticPr fontId="1"/>
  </si>
  <si>
    <t>campaign_name</t>
    <phoneticPr fontId="1"/>
  </si>
  <si>
    <t>【2022年5月】Bumper
【2022年5月】TrueView for Reach_カードローン検討層
【2022年3月】TrueView for Reach_Nonskippable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</si>
</sst>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color theme="1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theme="1"/>
      <name val="Segoe UI"/>
      <family val="2"/>
      <charset val="238"/>
    </font>
    <font>
      <sz val="10"/>
      <color theme="1"/>
      <name val="Calibri"/>
      <family val="2"/>
    </font>
    <font>
      <sz val="10"/>
      <color rgb="FF6A8759"/>
      <name val="メイリオ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242424"/>
      <name val="Segoe UI"/>
      <family val="2"/>
    </font>
    <font>
      <sz val="10"/>
      <color theme="1"/>
      <name val="Arial"/>
      <family val="2"/>
    </font>
    <font>
      <sz val="10"/>
      <color theme="1"/>
      <name val="ＭＳ ゴシック"/>
      <family val="3"/>
      <charset val="128"/>
    </font>
    <font>
      <sz val="10"/>
      <color rgb="FF1A50B7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>
      <alignment vertical="center"/>
    </xf>
    <xf numFmtId="0" fontId="4" fillId="0" borderId="0">
      <alignment vertical="center"/>
    </xf>
    <xf numFmtId="0" fontId="5" fillId="0" borderId="0"/>
    <xf numFmtId="0" fontId="4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20" fillId="14" borderId="9" applyNumberFormat="0" applyAlignment="0" applyProtection="0">
      <alignment vertical="center"/>
    </xf>
    <xf numFmtId="0" fontId="21" fillId="15" borderId="10" applyNumberFormat="0" applyAlignment="0" applyProtection="0">
      <alignment vertical="center"/>
    </xf>
    <xf numFmtId="0" fontId="22" fillId="15" borderId="9" applyNumberFormat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16" borderId="12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4" fillId="17" borderId="13" applyNumberFormat="0" applyFon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14" applyNumberFormat="0" applyFill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0" fontId="4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4" fillId="39" borderId="0" applyNumberFormat="0" applyBorder="0" applyAlignment="0" applyProtection="0">
      <alignment vertical="center"/>
    </xf>
    <xf numFmtId="0" fontId="4" fillId="40" borderId="0" applyNumberFormat="0" applyBorder="0" applyAlignment="0" applyProtection="0">
      <alignment vertical="center"/>
    </xf>
    <xf numFmtId="0" fontId="4" fillId="41" borderId="0" applyNumberFormat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>
      <alignment vertical="center"/>
    </xf>
    <xf numFmtId="0" fontId="2" fillId="3" borderId="2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4" borderId="3" xfId="0" applyFont="1" applyFill="1" applyBorder="1">
      <alignment vertical="center"/>
    </xf>
    <xf numFmtId="0" fontId="2" fillId="0" borderId="0" xfId="0" applyFont="1" applyAlignment="1">
      <alignment horizontal="left" vertical="center"/>
    </xf>
    <xf numFmtId="0" fontId="6" fillId="3" borderId="4" xfId="2" applyFont="1" applyFill="1" applyBorder="1" applyAlignment="1">
      <alignment horizontal="center" vertical="center"/>
    </xf>
    <xf numFmtId="0" fontId="7" fillId="2" borderId="4" xfId="2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4" xfId="2" applyFont="1" applyFill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3" fillId="6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left" vertical="center"/>
    </xf>
    <xf numFmtId="0" fontId="8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3" borderId="1" xfId="0" applyFont="1" applyFill="1" applyBorder="1">
      <alignment vertical="center"/>
    </xf>
    <xf numFmtId="0" fontId="2" fillId="0" borderId="5" xfId="0" applyFont="1" applyBorder="1">
      <alignment vertical="center"/>
    </xf>
    <xf numFmtId="0" fontId="2" fillId="3" borderId="1" xfId="0" applyFont="1" applyFill="1" applyBorder="1">
      <alignment vertical="center"/>
    </xf>
    <xf numFmtId="0" fontId="2" fillId="0" borderId="0" xfId="0" applyFont="1" applyBorder="1">
      <alignment vertical="center"/>
    </xf>
    <xf numFmtId="49" fontId="2" fillId="0" borderId="4" xfId="0" applyNumberFormat="1" applyFont="1" applyBorder="1" applyAlignment="1">
      <alignment horizontal="left" vertical="center"/>
    </xf>
    <xf numFmtId="49" fontId="2" fillId="0" borderId="1" xfId="0" quotePrefix="1" applyNumberFormat="1" applyFont="1" applyBorder="1">
      <alignment vertical="center"/>
    </xf>
    <xf numFmtId="49" fontId="2" fillId="0" borderId="5" xfId="0" applyNumberFormat="1" applyFont="1" applyBorder="1">
      <alignment vertical="center"/>
    </xf>
    <xf numFmtId="49" fontId="2" fillId="0" borderId="2" xfId="0" applyNumberFormat="1" applyFont="1" applyBorder="1">
      <alignment vertical="center"/>
    </xf>
    <xf numFmtId="0" fontId="2" fillId="0" borderId="2" xfId="0" quotePrefix="1" applyFont="1" applyBorder="1">
      <alignment vertical="center"/>
    </xf>
    <xf numFmtId="49" fontId="2" fillId="0" borderId="4" xfId="0" applyNumberFormat="1" applyFont="1" applyBorder="1" applyAlignment="1">
      <alignment horizontal="left" vertical="center" wrapText="1"/>
    </xf>
    <xf numFmtId="0" fontId="12" fillId="0" borderId="0" xfId="4">
      <alignment vertical="center"/>
    </xf>
    <xf numFmtId="0" fontId="2" fillId="0" borderId="1" xfId="0" applyFont="1" applyFill="1" applyBorder="1">
      <alignment vertical="center"/>
    </xf>
    <xf numFmtId="0" fontId="3" fillId="7" borderId="3" xfId="0" applyFont="1" applyFill="1" applyBorder="1">
      <alignment vertical="center"/>
    </xf>
    <xf numFmtId="0" fontId="2" fillId="7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2" fillId="0" borderId="4" xfId="0" applyFont="1" applyBorder="1" applyAlignment="1">
      <alignment horizontal="left" vertical="center" wrapText="1"/>
    </xf>
    <xf numFmtId="0" fontId="12" fillId="0" borderId="4" xfId="4" applyBorder="1" applyAlignment="1">
      <alignment horizontal="left" vertical="center"/>
    </xf>
    <xf numFmtId="49" fontId="3" fillId="4" borderId="2" xfId="0" applyNumberFormat="1" applyFont="1" applyFill="1" applyBorder="1">
      <alignment vertical="center"/>
    </xf>
    <xf numFmtId="0" fontId="2" fillId="9" borderId="3" xfId="0" applyFont="1" applyFill="1" applyBorder="1">
      <alignment vertical="center"/>
    </xf>
    <xf numFmtId="49" fontId="2" fillId="9" borderId="3" xfId="0" applyNumberFormat="1" applyFont="1" applyFill="1" applyBorder="1">
      <alignment vertical="center"/>
    </xf>
    <xf numFmtId="49" fontId="2" fillId="10" borderId="1" xfId="0" applyNumberFormat="1" applyFont="1" applyFill="1" applyBorder="1">
      <alignment vertical="center"/>
    </xf>
    <xf numFmtId="0" fontId="2" fillId="10" borderId="1" xfId="0" applyFont="1" applyFill="1" applyBorder="1">
      <alignment vertical="center"/>
    </xf>
    <xf numFmtId="49" fontId="2" fillId="0" borderId="1" xfId="0" applyNumberFormat="1" applyFont="1" applyBorder="1">
      <alignment vertical="center"/>
    </xf>
    <xf numFmtId="49" fontId="2" fillId="0" borderId="2" xfId="0" quotePrefix="1" applyNumberFormat="1" applyFont="1" applyBorder="1">
      <alignment vertical="center"/>
    </xf>
    <xf numFmtId="0" fontId="2" fillId="0" borderId="0" xfId="0" applyFont="1" applyBorder="1" applyAlignment="1">
      <alignment horizontal="left" vertical="center"/>
    </xf>
    <xf numFmtId="0" fontId="29" fillId="0" borderId="0" xfId="0" applyFont="1">
      <alignment vertical="center"/>
    </xf>
    <xf numFmtId="0" fontId="0" fillId="0" borderId="0" xfId="0">
      <alignment vertical="center"/>
    </xf>
    <xf numFmtId="0" fontId="30" fillId="0" borderId="0" xfId="0" applyFont="1">
      <alignment vertical="center"/>
    </xf>
    <xf numFmtId="0" fontId="0" fillId="0" borderId="0" xfId="0">
      <alignment vertical="center"/>
    </xf>
    <xf numFmtId="0" fontId="32" fillId="0" borderId="0" xfId="0" applyFont="1">
      <alignment vertical="center"/>
    </xf>
    <xf numFmtId="0" fontId="2" fillId="3" borderId="5" xfId="0" applyFont="1" applyFill="1" applyBorder="1">
      <alignment vertical="center"/>
    </xf>
    <xf numFmtId="0" fontId="3" fillId="42" borderId="1" xfId="0" applyFont="1" applyFill="1" applyBorder="1">
      <alignment vertical="center"/>
    </xf>
    <xf numFmtId="0" fontId="2" fillId="43" borderId="1" xfId="0" applyFont="1" applyFill="1" applyBorder="1">
      <alignment vertical="center"/>
    </xf>
    <xf numFmtId="14" fontId="2" fillId="0" borderId="2" xfId="0" applyNumberFormat="1" applyFont="1" applyBorder="1">
      <alignment vertical="center"/>
    </xf>
    <xf numFmtId="0" fontId="3" fillId="4" borderId="0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 wrapText="1"/>
    </xf>
  </cellXfs>
  <cellStyles count="46">
    <cellStyle name="20% - アクセント 1" xfId="23" builtinId="30" customBuiltin="1"/>
    <cellStyle name="20% - アクセント 2" xfId="27" builtinId="34" customBuiltin="1"/>
    <cellStyle name="20% - アクセント 3" xfId="31" builtinId="38" customBuiltin="1"/>
    <cellStyle name="20% - アクセント 4" xfId="35" builtinId="42" customBuiltin="1"/>
    <cellStyle name="20% - アクセント 5" xfId="39" builtinId="46" customBuiltin="1"/>
    <cellStyle name="20% - アクセント 6" xfId="43" builtinId="50" customBuiltin="1"/>
    <cellStyle name="40% - アクセント 1" xfId="24" builtinId="31" customBuiltin="1"/>
    <cellStyle name="40% - アクセント 2" xfId="28" builtinId="35" customBuiltin="1"/>
    <cellStyle name="40% - アクセント 3" xfId="32" builtinId="39" customBuiltin="1"/>
    <cellStyle name="40% - アクセント 4" xfId="36" builtinId="43" customBuiltin="1"/>
    <cellStyle name="40% - アクセント 5" xfId="40" builtinId="47" customBuiltin="1"/>
    <cellStyle name="40% - アクセント 6" xfId="44" builtinId="51" customBuiltin="1"/>
    <cellStyle name="60% - アクセント 1" xfId="25" builtinId="32" customBuiltin="1"/>
    <cellStyle name="60% - アクセント 2" xfId="29" builtinId="36" customBuiltin="1"/>
    <cellStyle name="60% - アクセント 3" xfId="33" builtinId="40" customBuiltin="1"/>
    <cellStyle name="60% - アクセント 4" xfId="37" builtinId="44" customBuiltin="1"/>
    <cellStyle name="60% - アクセント 5" xfId="41" builtinId="48" customBuiltin="1"/>
    <cellStyle name="60% - アクセント 6" xfId="45" builtinId="52" customBuiltin="1"/>
    <cellStyle name="アクセント 1" xfId="22" builtinId="29" customBuiltin="1"/>
    <cellStyle name="アクセント 2" xfId="26" builtinId="33" customBuiltin="1"/>
    <cellStyle name="アクセント 3" xfId="30" builtinId="37" customBuiltin="1"/>
    <cellStyle name="アクセント 4" xfId="34" builtinId="41" customBuiltin="1"/>
    <cellStyle name="アクセント 5" xfId="38" builtinId="45" customBuiltin="1"/>
    <cellStyle name="アクセント 6" xfId="42" builtinId="49" customBuiltin="1"/>
    <cellStyle name="タイトル" xfId="5" builtinId="15" customBuiltin="1"/>
    <cellStyle name="チェック セル" xfId="17" builtinId="23" customBuiltin="1"/>
    <cellStyle name="どちらでもない" xfId="12" builtinId="28" customBuiltin="1"/>
    <cellStyle name="ハイパーリンク" xfId="4" builtinId="8"/>
    <cellStyle name="メモ" xfId="19" builtinId="10" customBuiltin="1"/>
    <cellStyle name="リンク セル" xfId="16" builtinId="24" customBuiltin="1"/>
    <cellStyle name="悪い" xfId="11" builtinId="27" customBuiltin="1"/>
    <cellStyle name="計算" xfId="15" builtinId="22" customBuiltin="1"/>
    <cellStyle name="警告文" xfId="18" builtinId="11" customBuiltin="1"/>
    <cellStyle name="見出し 1" xfId="6" builtinId="16" customBuiltin="1"/>
    <cellStyle name="見出し 2" xfId="7" builtinId="17" customBuiltin="1"/>
    <cellStyle name="見出し 3" xfId="8" builtinId="18" customBuiltin="1"/>
    <cellStyle name="見出し 4" xfId="9" builtinId="19" customBuiltin="1"/>
    <cellStyle name="集計" xfId="21" builtinId="25" customBuiltin="1"/>
    <cellStyle name="出力" xfId="14" builtinId="21" customBuiltin="1"/>
    <cellStyle name="説明文" xfId="20" builtinId="53" customBuiltin="1"/>
    <cellStyle name="入力" xfId="13" builtinId="20" customBuiltin="1"/>
    <cellStyle name="標準" xfId="0" builtinId="0"/>
    <cellStyle name="標準 2" xfId="2" xr:uid="{E591AC99-A59B-4178-B5F4-59FB2EC76F75}"/>
    <cellStyle name="標準 4 2 3" xfId="3" xr:uid="{D123D215-CC56-40C7-9777-B58832495E0C}"/>
    <cellStyle name="標準 5 3" xfId="1" xr:uid="{23A9FFF9-51D6-4C79-8F67-DAB84A6F6CFF}"/>
    <cellStyle name="良い" xfId="10" builtinId="26" customBuiltin="1"/>
  </cellStyles>
  <dxfs count="5">
    <dxf>
      <font>
        <color theme="0"/>
      </font>
      <fill>
        <patternFill>
          <bgColor rgb="FFFF0000"/>
        </patternFill>
      </fill>
    </dxf>
    <dxf>
      <font>
        <color theme="1" tint="0.499984740745262"/>
      </font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orixlife@amoad.com" TargetMode="External"/><Relationship Id="rId1" Type="http://schemas.openxmlformats.org/officeDocument/2006/relationships/hyperlink" Target="mailto:orixlife@amoad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orixlife@amoad.com" TargetMode="External"/><Relationship Id="rId1" Type="http://schemas.openxmlformats.org/officeDocument/2006/relationships/hyperlink" Target="mailto:orixlife@amoad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doan_thi_kim_huong@ca-adv.co.jp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737A2-38F7-4424-B4F1-C864FEC5F934}">
  <sheetPr codeName="Sheet4">
    <tabColor rgb="FFFFC000"/>
  </sheetPr>
  <dimension ref="A1:AU53"/>
  <sheetViews>
    <sheetView showGridLines="0" zoomScale="85" zoomScaleNormal="85" workbookViewId="0">
      <pane xSplit="1" topLeftCell="B1" activePane="topRight" state="frozen"/>
      <selection activeCell="H4" sqref="H1:H1048576"/>
      <selection pane="topRight" activeCell="H4" sqref="H1:H1048576"/>
    </sheetView>
  </sheetViews>
  <sheetFormatPr defaultColWidth="9" defaultRowHeight="20.100000000000001" customHeight="1" x14ac:dyDescent="0.4"/>
  <cols>
    <col min="1" max="3" width="18.625" style="2" customWidth="1"/>
    <col min="4" max="6" width="18.625" style="2" hidden="1" customWidth="1"/>
    <col min="7" max="7" width="18.625" style="2" customWidth="1"/>
    <col min="8" max="9" width="15.375" style="2" customWidth="1"/>
    <col min="10" max="16" width="15.375" style="2" hidden="1" customWidth="1"/>
    <col min="17" max="17" width="15.375" style="33" customWidth="1"/>
    <col min="18" max="18" width="15.375" style="2" hidden="1" customWidth="1"/>
    <col min="19" max="19" width="15.375" style="2" customWidth="1"/>
    <col min="20" max="25" width="15.375" style="2" hidden="1" customWidth="1"/>
    <col min="26" max="26" width="15.375" style="2" customWidth="1"/>
    <col min="27" max="30" width="15.375" style="2" hidden="1" customWidth="1"/>
    <col min="31" max="31" width="15.375" style="31" hidden="1" customWidth="1"/>
    <col min="32" max="40" width="15.375" style="2" hidden="1" customWidth="1"/>
    <col min="41" max="41" width="15.375" style="34" customWidth="1"/>
    <col min="42" max="42" width="16.75" style="1" customWidth="1"/>
    <col min="43" max="43" width="23.5" style="1" customWidth="1"/>
    <col min="44" max="44" width="9" style="1" customWidth="1"/>
    <col min="45" max="46" width="9" style="1"/>
    <col min="47" max="47" width="0" style="1" hidden="1" customWidth="1"/>
    <col min="48" max="16384" width="9" style="1"/>
  </cols>
  <sheetData>
    <row r="1" spans="1:47" ht="20.100000000000001" customHeight="1" x14ac:dyDescent="0.4">
      <c r="A1" s="8" t="s">
        <v>1</v>
      </c>
      <c r="B1" s="8" t="s">
        <v>261</v>
      </c>
      <c r="C1" s="7" t="s">
        <v>142</v>
      </c>
      <c r="D1" s="7" t="s">
        <v>143</v>
      </c>
      <c r="E1" s="7" t="s">
        <v>144</v>
      </c>
      <c r="F1" s="7" t="s">
        <v>145</v>
      </c>
      <c r="G1" s="7" t="s">
        <v>146</v>
      </c>
      <c r="H1" s="7" t="s">
        <v>147</v>
      </c>
      <c r="I1" s="7" t="s">
        <v>148</v>
      </c>
      <c r="J1" s="7" t="s">
        <v>149</v>
      </c>
      <c r="K1" s="7" t="s">
        <v>150</v>
      </c>
      <c r="L1" s="7" t="s">
        <v>151</v>
      </c>
      <c r="M1" s="7" t="s">
        <v>152</v>
      </c>
      <c r="N1" s="7" t="s">
        <v>153</v>
      </c>
      <c r="O1" s="7" t="s">
        <v>154</v>
      </c>
      <c r="P1" s="7" t="s">
        <v>155</v>
      </c>
      <c r="Q1" s="32" t="s">
        <v>156</v>
      </c>
      <c r="R1" s="7" t="s">
        <v>157</v>
      </c>
      <c r="S1" s="7" t="s">
        <v>158</v>
      </c>
      <c r="T1" s="7" t="s">
        <v>159</v>
      </c>
      <c r="U1" s="7" t="s">
        <v>160</v>
      </c>
      <c r="V1" s="7" t="s">
        <v>161</v>
      </c>
      <c r="W1" s="7" t="s">
        <v>162</v>
      </c>
      <c r="X1" s="7" t="s">
        <v>163</v>
      </c>
      <c r="Y1" s="7" t="s">
        <v>164</v>
      </c>
      <c r="Z1" s="7" t="s">
        <v>165</v>
      </c>
      <c r="AA1" s="7" t="s">
        <v>166</v>
      </c>
      <c r="AB1" s="7" t="s">
        <v>167</v>
      </c>
      <c r="AC1" s="7" t="s">
        <v>168</v>
      </c>
      <c r="AD1" s="7" t="s">
        <v>267</v>
      </c>
      <c r="AE1" s="7" t="s">
        <v>271</v>
      </c>
      <c r="AF1" s="7" t="s">
        <v>169</v>
      </c>
      <c r="AG1" s="7" t="s">
        <v>170</v>
      </c>
      <c r="AH1" s="7" t="s">
        <v>171</v>
      </c>
      <c r="AI1" s="7" t="s">
        <v>172</v>
      </c>
      <c r="AJ1" s="7" t="s">
        <v>173</v>
      </c>
      <c r="AK1" s="7" t="s">
        <v>174</v>
      </c>
      <c r="AL1" s="7" t="s">
        <v>268</v>
      </c>
      <c r="AM1" s="7" t="s">
        <v>175</v>
      </c>
      <c r="AN1" s="7" t="s">
        <v>176</v>
      </c>
      <c r="AO1" s="7" t="s">
        <v>474</v>
      </c>
      <c r="AP1" s="7" t="s">
        <v>451</v>
      </c>
      <c r="AQ1" s="7" t="s">
        <v>279</v>
      </c>
      <c r="AR1" s="1" t="s">
        <v>290</v>
      </c>
      <c r="AS1" s="1" t="s">
        <v>299</v>
      </c>
      <c r="AT1" s="1" t="s">
        <v>416</v>
      </c>
      <c r="AU1" s="1" t="s">
        <v>360</v>
      </c>
    </row>
    <row r="2" spans="1:47" ht="20.100000000000001" customHeight="1" x14ac:dyDescent="0.4">
      <c r="A2" s="2" t="s">
        <v>250</v>
      </c>
      <c r="B2" s="2" t="s">
        <v>259</v>
      </c>
      <c r="C2" s="2" t="s">
        <v>250</v>
      </c>
      <c r="D2" s="2" t="s">
        <v>250</v>
      </c>
      <c r="E2" s="2" t="s">
        <v>250</v>
      </c>
      <c r="F2" s="2" t="s">
        <v>250</v>
      </c>
      <c r="G2" s="2" t="s">
        <v>250</v>
      </c>
      <c r="H2" s="2" t="s">
        <v>250</v>
      </c>
      <c r="I2" s="2" t="s">
        <v>250</v>
      </c>
      <c r="J2" s="2" t="s">
        <v>250</v>
      </c>
      <c r="K2" s="2" t="s">
        <v>250</v>
      </c>
      <c r="L2" s="2" t="s">
        <v>250</v>
      </c>
      <c r="M2" s="2" t="s">
        <v>250</v>
      </c>
      <c r="N2" s="2" t="s">
        <v>250</v>
      </c>
      <c r="O2" s="2" t="s">
        <v>250</v>
      </c>
      <c r="P2" s="2" t="s">
        <v>250</v>
      </c>
      <c r="Q2" s="33" t="s">
        <v>250</v>
      </c>
      <c r="R2" s="2" t="s">
        <v>250</v>
      </c>
      <c r="S2" s="2" t="s">
        <v>250</v>
      </c>
      <c r="T2" s="2" t="s">
        <v>250</v>
      </c>
      <c r="U2" s="2" t="s">
        <v>250</v>
      </c>
      <c r="V2" s="2" t="s">
        <v>250</v>
      </c>
      <c r="W2" s="2" t="s">
        <v>250</v>
      </c>
      <c r="X2" s="2" t="s">
        <v>250</v>
      </c>
      <c r="Y2" s="2" t="s">
        <v>250</v>
      </c>
      <c r="Z2" s="2" t="s">
        <v>250</v>
      </c>
      <c r="AA2" s="2" t="s">
        <v>250</v>
      </c>
      <c r="AB2" s="2" t="s">
        <v>250</v>
      </c>
      <c r="AC2" s="2" t="s">
        <v>250</v>
      </c>
      <c r="AD2" s="2" t="s">
        <v>250</v>
      </c>
      <c r="AE2" s="31" t="s">
        <v>250</v>
      </c>
      <c r="AF2" s="2" t="s">
        <v>250</v>
      </c>
      <c r="AG2" s="2" t="s">
        <v>250</v>
      </c>
      <c r="AH2" s="2" t="s">
        <v>250</v>
      </c>
      <c r="AI2" s="2" t="s">
        <v>250</v>
      </c>
      <c r="AJ2" s="2" t="s">
        <v>250</v>
      </c>
      <c r="AK2" s="2" t="s">
        <v>250</v>
      </c>
      <c r="AL2" s="2" t="s">
        <v>250</v>
      </c>
      <c r="AM2" s="2" t="s">
        <v>250</v>
      </c>
      <c r="AN2" s="2" t="s">
        <v>250</v>
      </c>
      <c r="AO2" s="34" t="s">
        <v>250</v>
      </c>
      <c r="AP2" s="2" t="s">
        <v>250</v>
      </c>
      <c r="AQ2" s="1" t="s">
        <v>250</v>
      </c>
      <c r="AR2" s="1" t="s">
        <v>250</v>
      </c>
      <c r="AS2" s="1" t="s">
        <v>250</v>
      </c>
      <c r="AT2" s="1" t="s">
        <v>250</v>
      </c>
      <c r="AU2" s="1" t="s">
        <v>250</v>
      </c>
    </row>
    <row r="3" spans="1:47" ht="20.100000000000001" customHeight="1" x14ac:dyDescent="0.4">
      <c r="A3" s="2" t="s">
        <v>3</v>
      </c>
      <c r="B3" s="2" t="s">
        <v>259</v>
      </c>
      <c r="C3" s="2" t="s">
        <v>3</v>
      </c>
      <c r="D3" s="2" t="s">
        <v>3</v>
      </c>
      <c r="E3" s="2" t="s">
        <v>3</v>
      </c>
      <c r="F3" s="2" t="s">
        <v>3</v>
      </c>
      <c r="G3" s="2" t="s">
        <v>3</v>
      </c>
      <c r="H3" s="2" t="s">
        <v>3</v>
      </c>
      <c r="I3" s="2" t="s">
        <v>3</v>
      </c>
      <c r="J3" s="2" t="s">
        <v>3</v>
      </c>
      <c r="K3" s="2" t="s">
        <v>3</v>
      </c>
      <c r="L3" s="2" t="s">
        <v>3</v>
      </c>
      <c r="M3" s="2" t="s">
        <v>3</v>
      </c>
      <c r="N3" s="2" t="s">
        <v>3</v>
      </c>
      <c r="O3" s="2" t="s">
        <v>3</v>
      </c>
      <c r="P3" s="2" t="s">
        <v>3</v>
      </c>
      <c r="Q3" s="33" t="s">
        <v>3</v>
      </c>
      <c r="R3" s="2" t="s">
        <v>3</v>
      </c>
      <c r="S3" s="2" t="s">
        <v>3</v>
      </c>
      <c r="T3" s="2" t="s">
        <v>3</v>
      </c>
      <c r="U3" s="2" t="s">
        <v>3</v>
      </c>
      <c r="V3" s="2" t="s">
        <v>3</v>
      </c>
      <c r="W3" s="2" t="s">
        <v>3</v>
      </c>
      <c r="X3" s="2" t="s">
        <v>3</v>
      </c>
      <c r="Y3" s="2" t="s">
        <v>3</v>
      </c>
      <c r="Z3" s="2" t="s">
        <v>3</v>
      </c>
      <c r="AA3" s="2" t="s">
        <v>3</v>
      </c>
      <c r="AB3" s="2" t="s">
        <v>3</v>
      </c>
      <c r="AC3" s="2" t="s">
        <v>3</v>
      </c>
      <c r="AD3" s="2" t="s">
        <v>3</v>
      </c>
      <c r="AE3" s="31" t="s">
        <v>3</v>
      </c>
      <c r="AF3" s="2" t="s">
        <v>3</v>
      </c>
      <c r="AG3" s="2" t="s">
        <v>3</v>
      </c>
      <c r="AH3" s="2" t="s">
        <v>3</v>
      </c>
      <c r="AI3" s="2" t="s">
        <v>3</v>
      </c>
      <c r="AJ3" s="2" t="s">
        <v>3</v>
      </c>
      <c r="AK3" s="2" t="s">
        <v>3</v>
      </c>
      <c r="AL3" s="2" t="s">
        <v>3</v>
      </c>
      <c r="AM3" s="2" t="s">
        <v>3</v>
      </c>
      <c r="AN3" s="2" t="s">
        <v>3</v>
      </c>
      <c r="AO3" s="34" t="s">
        <v>3</v>
      </c>
      <c r="AP3" s="2" t="s">
        <v>3</v>
      </c>
      <c r="AQ3" s="1" t="s">
        <v>3</v>
      </c>
      <c r="AR3" s="1" t="s">
        <v>3</v>
      </c>
      <c r="AS3" s="1" t="s">
        <v>3</v>
      </c>
      <c r="AT3" s="1" t="s">
        <v>3</v>
      </c>
      <c r="AU3" s="1" t="s">
        <v>3</v>
      </c>
    </row>
    <row r="4" spans="1:47" ht="20.100000000000001" customHeight="1" x14ac:dyDescent="0.4">
      <c r="A4" s="22" t="s">
        <v>255</v>
      </c>
      <c r="B4" s="22" t="s">
        <v>259</v>
      </c>
      <c r="AP4" s="2"/>
    </row>
    <row r="5" spans="1:47" ht="20.100000000000001" customHeight="1" x14ac:dyDescent="0.4">
      <c r="A5" s="2" t="s">
        <v>251</v>
      </c>
      <c r="B5" s="2" t="s">
        <v>259</v>
      </c>
      <c r="C5" s="2" t="s">
        <v>251</v>
      </c>
      <c r="D5" s="2" t="s">
        <v>251</v>
      </c>
      <c r="E5" s="2" t="s">
        <v>251</v>
      </c>
      <c r="F5" s="2" t="s">
        <v>251</v>
      </c>
      <c r="G5" s="2" t="s">
        <v>251</v>
      </c>
      <c r="H5" s="2" t="s">
        <v>251</v>
      </c>
      <c r="I5" s="2" t="s">
        <v>251</v>
      </c>
      <c r="J5" s="2" t="s">
        <v>251</v>
      </c>
      <c r="K5" s="2" t="s">
        <v>251</v>
      </c>
      <c r="L5" s="2" t="s">
        <v>251</v>
      </c>
      <c r="M5" s="2" t="s">
        <v>251</v>
      </c>
      <c r="N5" s="2" t="s">
        <v>251</v>
      </c>
      <c r="O5" s="2" t="s">
        <v>251</v>
      </c>
      <c r="P5" s="2" t="s">
        <v>251</v>
      </c>
      <c r="Q5" s="33" t="s">
        <v>251</v>
      </c>
      <c r="R5" s="2" t="s">
        <v>251</v>
      </c>
      <c r="S5" s="2" t="s">
        <v>251</v>
      </c>
      <c r="T5" s="2" t="s">
        <v>251</v>
      </c>
      <c r="U5" s="2" t="s">
        <v>251</v>
      </c>
      <c r="V5" s="2" t="s">
        <v>251</v>
      </c>
      <c r="W5" s="2" t="s">
        <v>251</v>
      </c>
      <c r="X5" s="2" t="s">
        <v>251</v>
      </c>
      <c r="Y5" s="2" t="s">
        <v>251</v>
      </c>
      <c r="Z5" s="2" t="s">
        <v>251</v>
      </c>
      <c r="AA5" s="2" t="s">
        <v>251</v>
      </c>
      <c r="AB5" s="2" t="s">
        <v>251</v>
      </c>
      <c r="AC5" s="2" t="s">
        <v>251</v>
      </c>
      <c r="AD5" s="2" t="s">
        <v>251</v>
      </c>
      <c r="AE5" s="31" t="s">
        <v>251</v>
      </c>
      <c r="AF5" s="2" t="s">
        <v>251</v>
      </c>
      <c r="AG5" s="2" t="s">
        <v>251</v>
      </c>
      <c r="AH5" s="2" t="s">
        <v>251</v>
      </c>
      <c r="AI5" s="2" t="s">
        <v>251</v>
      </c>
      <c r="AJ5" s="2" t="s">
        <v>251</v>
      </c>
      <c r="AK5" s="2" t="s">
        <v>251</v>
      </c>
      <c r="AL5" s="2" t="s">
        <v>251</v>
      </c>
      <c r="AM5" s="2" t="s">
        <v>251</v>
      </c>
      <c r="AN5" s="2" t="s">
        <v>251</v>
      </c>
      <c r="AO5" s="34" t="s">
        <v>251</v>
      </c>
      <c r="AP5" s="2" t="s">
        <v>251</v>
      </c>
      <c r="AQ5" s="1" t="s">
        <v>251</v>
      </c>
      <c r="AR5" s="1" t="s">
        <v>251</v>
      </c>
      <c r="AS5" s="1" t="s">
        <v>251</v>
      </c>
      <c r="AT5" s="1" t="s">
        <v>251</v>
      </c>
      <c r="AU5" s="1" t="s">
        <v>251</v>
      </c>
    </row>
    <row r="6" spans="1:47" ht="20.100000000000001" customHeight="1" x14ac:dyDescent="0.4">
      <c r="A6" s="2" t="s">
        <v>252</v>
      </c>
      <c r="B6" s="2" t="s">
        <v>259</v>
      </c>
      <c r="C6" s="2" t="s">
        <v>252</v>
      </c>
      <c r="D6" s="2" t="s">
        <v>252</v>
      </c>
      <c r="E6" s="2" t="s">
        <v>252</v>
      </c>
      <c r="F6" s="2" t="s">
        <v>252</v>
      </c>
      <c r="G6" s="2" t="s">
        <v>252</v>
      </c>
      <c r="H6" s="2" t="s">
        <v>252</v>
      </c>
      <c r="I6" s="2" t="s">
        <v>252</v>
      </c>
      <c r="J6" s="2" t="s">
        <v>252</v>
      </c>
      <c r="K6" s="2" t="s">
        <v>252</v>
      </c>
      <c r="L6" s="2" t="s">
        <v>252</v>
      </c>
      <c r="M6" s="2" t="s">
        <v>252</v>
      </c>
      <c r="N6" s="2" t="s">
        <v>252</v>
      </c>
      <c r="O6" s="2" t="s">
        <v>252</v>
      </c>
      <c r="P6" s="2" t="s">
        <v>252</v>
      </c>
      <c r="Q6" s="33" t="s">
        <v>252</v>
      </c>
      <c r="R6" s="2" t="s">
        <v>252</v>
      </c>
      <c r="S6" s="2" t="s">
        <v>252</v>
      </c>
      <c r="T6" s="2" t="s">
        <v>252</v>
      </c>
      <c r="U6" s="2" t="s">
        <v>252</v>
      </c>
      <c r="V6" s="2" t="s">
        <v>252</v>
      </c>
      <c r="W6" s="2" t="s">
        <v>252</v>
      </c>
      <c r="X6" s="2" t="s">
        <v>252</v>
      </c>
      <c r="Y6" s="2" t="s">
        <v>252</v>
      </c>
      <c r="Z6" s="2" t="s">
        <v>252</v>
      </c>
      <c r="AA6" s="2" t="s">
        <v>252</v>
      </c>
      <c r="AB6" s="2" t="s">
        <v>252</v>
      </c>
      <c r="AC6" s="2" t="s">
        <v>252</v>
      </c>
      <c r="AD6" s="2" t="s">
        <v>252</v>
      </c>
      <c r="AE6" s="31" t="s">
        <v>252</v>
      </c>
      <c r="AF6" s="2" t="s">
        <v>252</v>
      </c>
      <c r="AG6" s="2" t="s">
        <v>252</v>
      </c>
      <c r="AH6" s="2" t="s">
        <v>252</v>
      </c>
      <c r="AI6" s="2" t="s">
        <v>252</v>
      </c>
      <c r="AJ6" s="2" t="s">
        <v>252</v>
      </c>
      <c r="AK6" s="2" t="s">
        <v>252</v>
      </c>
      <c r="AL6" s="2" t="s">
        <v>252</v>
      </c>
      <c r="AM6" s="2" t="s">
        <v>252</v>
      </c>
      <c r="AN6" s="2" t="s">
        <v>252</v>
      </c>
      <c r="AO6" s="34" t="s">
        <v>252</v>
      </c>
      <c r="AP6" s="2" t="s">
        <v>252</v>
      </c>
      <c r="AQ6" s="1" t="s">
        <v>252</v>
      </c>
      <c r="AR6" s="1" t="s">
        <v>252</v>
      </c>
      <c r="AS6" s="1" t="s">
        <v>252</v>
      </c>
      <c r="AT6" s="1" t="s">
        <v>252</v>
      </c>
      <c r="AU6" s="1" t="s">
        <v>252</v>
      </c>
    </row>
    <row r="7" spans="1:47" ht="20.100000000000001" customHeight="1" x14ac:dyDescent="0.4">
      <c r="A7" s="2" t="s">
        <v>246</v>
      </c>
      <c r="B7" s="2" t="s">
        <v>259</v>
      </c>
      <c r="C7" s="2" t="s">
        <v>246</v>
      </c>
      <c r="D7" s="2" t="s">
        <v>246</v>
      </c>
      <c r="E7" s="2" t="s">
        <v>246</v>
      </c>
      <c r="F7" s="2" t="s">
        <v>246</v>
      </c>
      <c r="G7" s="2" t="s">
        <v>246</v>
      </c>
      <c r="H7" s="2" t="s">
        <v>246</v>
      </c>
      <c r="I7" s="2" t="s">
        <v>246</v>
      </c>
      <c r="J7" s="2" t="s">
        <v>246</v>
      </c>
      <c r="K7" s="2" t="s">
        <v>246</v>
      </c>
      <c r="L7" s="2" t="s">
        <v>246</v>
      </c>
      <c r="M7" s="2" t="s">
        <v>246</v>
      </c>
      <c r="N7" s="2" t="s">
        <v>246</v>
      </c>
      <c r="O7" s="2" t="s">
        <v>246</v>
      </c>
      <c r="P7" s="2" t="s">
        <v>246</v>
      </c>
      <c r="Q7" s="33" t="s">
        <v>246</v>
      </c>
      <c r="R7" s="2" t="s">
        <v>246</v>
      </c>
      <c r="S7" s="2" t="s">
        <v>246</v>
      </c>
      <c r="T7" s="2" t="s">
        <v>246</v>
      </c>
      <c r="U7" s="2" t="s">
        <v>246</v>
      </c>
      <c r="V7" s="2" t="s">
        <v>246</v>
      </c>
      <c r="W7" s="2" t="s">
        <v>246</v>
      </c>
      <c r="X7" s="2" t="s">
        <v>246</v>
      </c>
      <c r="Y7" s="2" t="s">
        <v>246</v>
      </c>
      <c r="Z7" s="2" t="s">
        <v>246</v>
      </c>
      <c r="AA7" s="2" t="s">
        <v>246</v>
      </c>
      <c r="AB7" s="2" t="s">
        <v>246</v>
      </c>
      <c r="AC7" s="2" t="s">
        <v>246</v>
      </c>
      <c r="AD7" s="2" t="s">
        <v>246</v>
      </c>
      <c r="AE7" s="31" t="s">
        <v>246</v>
      </c>
      <c r="AF7" s="2" t="s">
        <v>246</v>
      </c>
      <c r="AG7" s="2" t="s">
        <v>246</v>
      </c>
      <c r="AH7" s="2" t="s">
        <v>246</v>
      </c>
      <c r="AI7" s="2" t="s">
        <v>246</v>
      </c>
      <c r="AJ7" s="2" t="s">
        <v>246</v>
      </c>
      <c r="AK7" s="2" t="s">
        <v>246</v>
      </c>
      <c r="AL7" s="2" t="s">
        <v>246</v>
      </c>
      <c r="AM7" s="2" t="s">
        <v>246</v>
      </c>
      <c r="AN7" s="2" t="s">
        <v>246</v>
      </c>
      <c r="AO7" s="34" t="s">
        <v>246</v>
      </c>
      <c r="AP7" s="2" t="s">
        <v>246</v>
      </c>
      <c r="AQ7" s="1" t="s">
        <v>246</v>
      </c>
      <c r="AR7" s="1" t="s">
        <v>287</v>
      </c>
      <c r="AS7" s="1" t="s">
        <v>246</v>
      </c>
      <c r="AT7" s="1" t="s">
        <v>287</v>
      </c>
      <c r="AU7" s="1" t="s">
        <v>361</v>
      </c>
    </row>
    <row r="8" spans="1:47" ht="20.100000000000001" customHeight="1" x14ac:dyDescent="0.4">
      <c r="A8" s="2" t="s">
        <v>262</v>
      </c>
      <c r="B8" s="2" t="s">
        <v>259</v>
      </c>
      <c r="C8" s="2" t="s">
        <v>262</v>
      </c>
      <c r="D8" s="2" t="s">
        <v>262</v>
      </c>
      <c r="E8" s="2" t="s">
        <v>262</v>
      </c>
      <c r="F8" s="2" t="s">
        <v>262</v>
      </c>
      <c r="G8" s="2" t="s">
        <v>262</v>
      </c>
      <c r="H8" s="2" t="s">
        <v>262</v>
      </c>
      <c r="I8" s="2" t="s">
        <v>262</v>
      </c>
      <c r="J8" s="2" t="s">
        <v>262</v>
      </c>
      <c r="K8" s="2" t="s">
        <v>262</v>
      </c>
      <c r="L8" s="2" t="s">
        <v>262</v>
      </c>
      <c r="M8" s="2" t="s">
        <v>262</v>
      </c>
      <c r="N8" s="2" t="s">
        <v>262</v>
      </c>
      <c r="O8" s="2" t="s">
        <v>262</v>
      </c>
      <c r="P8" s="2" t="s">
        <v>262</v>
      </c>
      <c r="Q8" s="33" t="s">
        <v>262</v>
      </c>
      <c r="R8" s="2" t="s">
        <v>262</v>
      </c>
      <c r="S8" s="2" t="s">
        <v>262</v>
      </c>
      <c r="T8" s="2" t="s">
        <v>262</v>
      </c>
      <c r="U8" s="2" t="s">
        <v>262</v>
      </c>
      <c r="V8" s="2" t="s">
        <v>262</v>
      </c>
      <c r="W8" s="2" t="s">
        <v>262</v>
      </c>
      <c r="X8" s="2" t="s">
        <v>262</v>
      </c>
      <c r="Y8" s="2" t="s">
        <v>262</v>
      </c>
      <c r="Z8" s="2" t="s">
        <v>262</v>
      </c>
      <c r="AA8" s="2" t="s">
        <v>262</v>
      </c>
      <c r="AB8" s="2" t="s">
        <v>262</v>
      </c>
      <c r="AC8" s="2" t="s">
        <v>262</v>
      </c>
      <c r="AD8" s="2" t="s">
        <v>262</v>
      </c>
      <c r="AE8" s="31" t="s">
        <v>262</v>
      </c>
      <c r="AF8" s="2" t="s">
        <v>262</v>
      </c>
      <c r="AG8" s="2" t="s">
        <v>262</v>
      </c>
      <c r="AH8" s="2" t="s">
        <v>262</v>
      </c>
      <c r="AI8" s="2" t="s">
        <v>262</v>
      </c>
      <c r="AJ8" s="2" t="s">
        <v>262</v>
      </c>
      <c r="AK8" s="2" t="s">
        <v>262</v>
      </c>
      <c r="AL8" s="2" t="s">
        <v>262</v>
      </c>
      <c r="AM8" s="2" t="s">
        <v>262</v>
      </c>
      <c r="AN8" s="2" t="s">
        <v>262</v>
      </c>
      <c r="AO8" s="34" t="s">
        <v>262</v>
      </c>
      <c r="AP8" s="2" t="s">
        <v>262</v>
      </c>
      <c r="AQ8" s="1" t="s">
        <v>262</v>
      </c>
      <c r="AR8" s="1" t="s">
        <v>288</v>
      </c>
      <c r="AS8" s="1" t="s">
        <v>262</v>
      </c>
      <c r="AT8" s="1" t="s">
        <v>288</v>
      </c>
      <c r="AU8" s="1" t="s">
        <v>362</v>
      </c>
    </row>
    <row r="9" spans="1:47" ht="20.100000000000001" customHeight="1" x14ac:dyDescent="0.4">
      <c r="A9" s="2" t="s">
        <v>253</v>
      </c>
      <c r="B9" s="2" t="s">
        <v>259</v>
      </c>
      <c r="C9" s="2" t="s">
        <v>253</v>
      </c>
      <c r="D9" s="2" t="s">
        <v>253</v>
      </c>
      <c r="E9" s="2" t="s">
        <v>253</v>
      </c>
      <c r="F9" s="2" t="s">
        <v>253</v>
      </c>
      <c r="G9" s="2" t="s">
        <v>253</v>
      </c>
      <c r="H9" s="2" t="s">
        <v>253</v>
      </c>
      <c r="I9" s="2" t="s">
        <v>253</v>
      </c>
      <c r="J9" s="2" t="s">
        <v>253</v>
      </c>
      <c r="K9" s="2" t="s">
        <v>253</v>
      </c>
      <c r="L9" s="2" t="s">
        <v>253</v>
      </c>
      <c r="M9" s="2" t="s">
        <v>253</v>
      </c>
      <c r="N9" s="2" t="s">
        <v>253</v>
      </c>
      <c r="O9" s="2" t="s">
        <v>253</v>
      </c>
      <c r="P9" s="2" t="s">
        <v>253</v>
      </c>
      <c r="Q9" s="33" t="s">
        <v>253</v>
      </c>
      <c r="R9" s="2" t="s">
        <v>253</v>
      </c>
      <c r="S9" s="2" t="s">
        <v>253</v>
      </c>
      <c r="T9" s="2" t="s">
        <v>253</v>
      </c>
      <c r="U9" s="2" t="s">
        <v>253</v>
      </c>
      <c r="V9" s="2" t="s">
        <v>253</v>
      </c>
      <c r="W9" s="2" t="s">
        <v>253</v>
      </c>
      <c r="X9" s="2" t="s">
        <v>253</v>
      </c>
      <c r="Y9" s="2" t="s">
        <v>253</v>
      </c>
      <c r="Z9" s="2" t="s">
        <v>253</v>
      </c>
      <c r="AA9" s="2" t="s">
        <v>253</v>
      </c>
      <c r="AB9" s="2" t="s">
        <v>253</v>
      </c>
      <c r="AC9" s="2" t="s">
        <v>253</v>
      </c>
      <c r="AD9" s="2" t="s">
        <v>253</v>
      </c>
      <c r="AE9" s="31" t="s">
        <v>253</v>
      </c>
      <c r="AF9" s="2" t="s">
        <v>253</v>
      </c>
      <c r="AG9" s="2" t="s">
        <v>253</v>
      </c>
      <c r="AH9" s="2" t="s">
        <v>253</v>
      </c>
      <c r="AI9" s="2" t="s">
        <v>253</v>
      </c>
      <c r="AJ9" s="2" t="s">
        <v>253</v>
      </c>
      <c r="AK9" s="2" t="s">
        <v>253</v>
      </c>
      <c r="AL9" s="2" t="s">
        <v>253</v>
      </c>
      <c r="AM9" s="2" t="s">
        <v>253</v>
      </c>
      <c r="AN9" s="2" t="s">
        <v>253</v>
      </c>
      <c r="AO9" s="34" t="s">
        <v>253</v>
      </c>
      <c r="AP9" s="2" t="s">
        <v>253</v>
      </c>
      <c r="AQ9" s="1" t="s">
        <v>253</v>
      </c>
      <c r="AR9" s="1" t="s">
        <v>253</v>
      </c>
      <c r="AS9" s="1" t="s">
        <v>253</v>
      </c>
      <c r="AT9" s="1" t="s">
        <v>253</v>
      </c>
    </row>
    <row r="10" spans="1:47" ht="20.100000000000001" customHeight="1" x14ac:dyDescent="0.4">
      <c r="AP10" s="2"/>
    </row>
    <row r="11" spans="1:47" ht="20.100000000000001" customHeight="1" x14ac:dyDescent="0.4">
      <c r="A11" s="22" t="s">
        <v>257</v>
      </c>
      <c r="B11" s="22" t="s">
        <v>259</v>
      </c>
      <c r="C11" s="2" t="s">
        <v>136</v>
      </c>
      <c r="D11" s="2" t="s">
        <v>136</v>
      </c>
      <c r="E11" s="2" t="s">
        <v>136</v>
      </c>
      <c r="F11" s="2" t="s">
        <v>136</v>
      </c>
      <c r="G11" s="2" t="s">
        <v>177</v>
      </c>
      <c r="H11" s="2" t="s">
        <v>333</v>
      </c>
      <c r="I11" s="2" t="s">
        <v>177</v>
      </c>
      <c r="J11" s="2" t="s">
        <v>178</v>
      </c>
      <c r="K11" s="2" t="s">
        <v>136</v>
      </c>
      <c r="L11" s="2" t="s">
        <v>179</v>
      </c>
      <c r="M11" s="2" t="s">
        <v>177</v>
      </c>
      <c r="N11" s="2" t="s">
        <v>136</v>
      </c>
      <c r="O11" s="2" t="s">
        <v>177</v>
      </c>
      <c r="P11" s="2" t="s">
        <v>180</v>
      </c>
      <c r="Q11" s="33" t="s">
        <v>286</v>
      </c>
      <c r="R11" s="2" t="s">
        <v>181</v>
      </c>
      <c r="S11" s="2" t="s">
        <v>135</v>
      </c>
      <c r="T11" s="2" t="s">
        <v>137</v>
      </c>
      <c r="U11" s="2" t="s">
        <v>136</v>
      </c>
      <c r="V11" s="2" t="s">
        <v>136</v>
      </c>
      <c r="W11" s="2" t="s">
        <v>182</v>
      </c>
      <c r="X11" s="2" t="s">
        <v>183</v>
      </c>
      <c r="Y11" s="2" t="s">
        <v>136</v>
      </c>
      <c r="Z11" s="2" t="s">
        <v>136</v>
      </c>
      <c r="AA11" s="2" t="s">
        <v>136</v>
      </c>
      <c r="AB11" s="2" t="s">
        <v>184</v>
      </c>
      <c r="AC11" s="2" t="s">
        <v>136</v>
      </c>
      <c r="AD11" s="2" t="s">
        <v>177</v>
      </c>
      <c r="AE11" s="31" t="s">
        <v>177</v>
      </c>
      <c r="AF11" s="2" t="s">
        <v>136</v>
      </c>
      <c r="AG11" s="2" t="s">
        <v>136</v>
      </c>
      <c r="AH11" s="2" t="s">
        <v>136</v>
      </c>
      <c r="AI11" s="2" t="s">
        <v>180</v>
      </c>
      <c r="AJ11" s="2" t="s">
        <v>180</v>
      </c>
      <c r="AK11" s="2" t="s">
        <v>181</v>
      </c>
      <c r="AL11" s="2" t="s">
        <v>137</v>
      </c>
      <c r="AM11" s="2" t="s">
        <v>136</v>
      </c>
      <c r="AN11" s="2" t="s">
        <v>180</v>
      </c>
      <c r="AO11" s="34" t="s">
        <v>136</v>
      </c>
      <c r="AP11" s="2" t="s">
        <v>180</v>
      </c>
      <c r="AQ11" s="1" t="s">
        <v>177</v>
      </c>
      <c r="AR11" s="1" t="s">
        <v>289</v>
      </c>
      <c r="AT11" s="1" t="s">
        <v>417</v>
      </c>
      <c r="AU11" s="1" t="s">
        <v>363</v>
      </c>
    </row>
    <row r="12" spans="1:47" ht="20.100000000000001" customHeight="1" x14ac:dyDescent="0.4">
      <c r="A12" s="2" t="s">
        <v>260</v>
      </c>
      <c r="B12" s="2" t="s">
        <v>5</v>
      </c>
      <c r="C12" s="2" t="s">
        <v>140</v>
      </c>
      <c r="D12" s="2" t="s">
        <v>212</v>
      </c>
      <c r="E12" s="2" t="s">
        <v>212</v>
      </c>
      <c r="F12" s="2" t="s">
        <v>212</v>
      </c>
      <c r="G12" s="2" t="s">
        <v>213</v>
      </c>
      <c r="H12" s="2" t="s">
        <v>222</v>
      </c>
      <c r="I12" s="2" t="s">
        <v>215</v>
      </c>
      <c r="J12" s="2" t="s">
        <v>216</v>
      </c>
      <c r="K12" s="2" t="s">
        <v>217</v>
      </c>
      <c r="L12" s="2" t="s">
        <v>218</v>
      </c>
      <c r="M12" s="2" t="s">
        <v>212</v>
      </c>
      <c r="N12" s="2" t="s">
        <v>219</v>
      </c>
      <c r="O12" s="2" t="s">
        <v>214</v>
      </c>
      <c r="P12" s="2" t="s">
        <v>220</v>
      </c>
      <c r="Q12" s="33" t="s">
        <v>220</v>
      </c>
      <c r="R12" s="2" t="s">
        <v>221</v>
      </c>
      <c r="S12" s="2" t="s">
        <v>220</v>
      </c>
      <c r="T12" s="2" t="s">
        <v>222</v>
      </c>
      <c r="U12" s="2" t="s">
        <v>223</v>
      </c>
      <c r="V12" s="2" t="s">
        <v>223</v>
      </c>
      <c r="W12" s="2" t="s">
        <v>224</v>
      </c>
      <c r="X12" s="2" t="s">
        <v>223</v>
      </c>
      <c r="Y12" s="2" t="s">
        <v>225</v>
      </c>
      <c r="Z12" s="2" t="s">
        <v>223</v>
      </c>
      <c r="AA12" s="2" t="s">
        <v>219</v>
      </c>
      <c r="AB12" s="2" t="s">
        <v>226</v>
      </c>
      <c r="AC12" s="2" t="s">
        <v>219</v>
      </c>
      <c r="AD12" s="2" t="s">
        <v>214</v>
      </c>
      <c r="AE12" s="31" t="s">
        <v>214</v>
      </c>
      <c r="AF12" s="2" t="s">
        <v>219</v>
      </c>
      <c r="AG12" s="2" t="s">
        <v>219</v>
      </c>
      <c r="AH12" s="2" t="s">
        <v>219</v>
      </c>
      <c r="AI12" s="2" t="s">
        <v>220</v>
      </c>
      <c r="AJ12" s="2" t="s">
        <v>227</v>
      </c>
      <c r="AK12" s="2" t="s">
        <v>220</v>
      </c>
      <c r="AL12" s="2" t="s">
        <v>269</v>
      </c>
      <c r="AM12" s="2" t="s">
        <v>223</v>
      </c>
      <c r="AO12" s="34" t="s">
        <v>219</v>
      </c>
      <c r="AP12" s="2"/>
      <c r="AQ12" s="1" t="s">
        <v>212</v>
      </c>
      <c r="AS12" s="1" t="s">
        <v>215</v>
      </c>
    </row>
    <row r="13" spans="1:47" ht="20.100000000000001" customHeight="1" x14ac:dyDescent="0.4">
      <c r="A13" s="22" t="s">
        <v>258</v>
      </c>
      <c r="B13" s="2" t="s">
        <v>5</v>
      </c>
      <c r="AN13" s="2" t="s">
        <v>220</v>
      </c>
      <c r="AP13" s="23" t="s">
        <v>220</v>
      </c>
    </row>
    <row r="14" spans="1:47" ht="20.100000000000001" customHeight="1" x14ac:dyDescent="0.4">
      <c r="A14" s="2" t="s">
        <v>197</v>
      </c>
      <c r="B14" s="2" t="s">
        <v>5</v>
      </c>
      <c r="C14" s="2" t="s">
        <v>138</v>
      </c>
      <c r="D14" s="2" t="s">
        <v>138</v>
      </c>
      <c r="E14" s="2" t="s">
        <v>185</v>
      </c>
      <c r="F14" s="2" t="s">
        <v>185</v>
      </c>
      <c r="G14" s="2" t="s">
        <v>186</v>
      </c>
      <c r="H14" s="2" t="s">
        <v>188</v>
      </c>
      <c r="I14" s="2" t="s">
        <v>187</v>
      </c>
      <c r="J14" s="2" t="s">
        <v>188</v>
      </c>
      <c r="K14" s="2" t="s">
        <v>138</v>
      </c>
      <c r="L14" s="2" t="s">
        <v>189</v>
      </c>
      <c r="M14" s="2" t="s">
        <v>190</v>
      </c>
      <c r="N14" s="2" t="s">
        <v>190</v>
      </c>
      <c r="O14" s="2" t="s">
        <v>190</v>
      </c>
      <c r="P14" s="2" t="s">
        <v>191</v>
      </c>
      <c r="Q14" s="45" t="s">
        <v>492</v>
      </c>
      <c r="R14" s="2" t="s">
        <v>192</v>
      </c>
      <c r="S14" s="2" t="s">
        <v>193</v>
      </c>
      <c r="T14" s="2" t="s">
        <v>187</v>
      </c>
      <c r="U14" s="2" t="s">
        <v>194</v>
      </c>
      <c r="W14" s="2" t="s">
        <v>186</v>
      </c>
      <c r="X14" s="2" t="s">
        <v>195</v>
      </c>
      <c r="Y14" s="2" t="s">
        <v>196</v>
      </c>
      <c r="Z14" s="2" t="s">
        <v>197</v>
      </c>
      <c r="AA14" s="2" t="s">
        <v>190</v>
      </c>
      <c r="AB14" s="2" t="s">
        <v>198</v>
      </c>
      <c r="AC14" s="2" t="s">
        <v>190</v>
      </c>
      <c r="AD14" s="2" t="s">
        <v>190</v>
      </c>
      <c r="AE14" s="31" t="s">
        <v>190</v>
      </c>
      <c r="AF14" s="2" t="s">
        <v>190</v>
      </c>
      <c r="AG14" s="2" t="s">
        <v>190</v>
      </c>
      <c r="AH14" s="2" t="s">
        <v>190</v>
      </c>
      <c r="AI14" s="2" t="s">
        <v>193</v>
      </c>
      <c r="AJ14" s="2" t="s">
        <v>191</v>
      </c>
      <c r="AK14" s="2" t="s">
        <v>193</v>
      </c>
      <c r="AL14" s="2" t="s">
        <v>188</v>
      </c>
      <c r="AM14" s="2" t="s">
        <v>187</v>
      </c>
      <c r="AN14" s="2" t="s">
        <v>191</v>
      </c>
      <c r="AO14" s="34" t="s">
        <v>190</v>
      </c>
      <c r="AP14" s="2" t="s">
        <v>191</v>
      </c>
      <c r="AQ14" s="1" t="s">
        <v>190</v>
      </c>
      <c r="AS14" s="1" t="s">
        <v>197</v>
      </c>
    </row>
    <row r="15" spans="1:47" ht="20.100000000000001" customHeight="1" x14ac:dyDescent="0.4">
      <c r="A15" s="2" t="s">
        <v>210</v>
      </c>
      <c r="B15" s="2" t="s">
        <v>5</v>
      </c>
      <c r="C15" s="2" t="s">
        <v>139</v>
      </c>
      <c r="D15" s="2" t="s">
        <v>139</v>
      </c>
      <c r="E15" s="2" t="s">
        <v>139</v>
      </c>
      <c r="F15" s="2" t="s">
        <v>139</v>
      </c>
      <c r="G15" s="2" t="s">
        <v>139</v>
      </c>
      <c r="H15" s="2" t="s">
        <v>270</v>
      </c>
      <c r="I15" s="2" t="s">
        <v>199</v>
      </c>
      <c r="J15" s="2" t="s">
        <v>200</v>
      </c>
      <c r="K15" s="2" t="s">
        <v>201</v>
      </c>
      <c r="L15" s="2" t="s">
        <v>202</v>
      </c>
      <c r="M15" s="2" t="s">
        <v>139</v>
      </c>
      <c r="N15" s="2" t="s">
        <v>203</v>
      </c>
      <c r="O15" s="2" t="s">
        <v>204</v>
      </c>
      <c r="P15" s="2" t="s">
        <v>205</v>
      </c>
      <c r="Q15" s="33" t="s">
        <v>206</v>
      </c>
      <c r="R15" s="2" t="s">
        <v>207</v>
      </c>
      <c r="S15" s="2" t="s">
        <v>205</v>
      </c>
      <c r="T15" s="2" t="s">
        <v>199</v>
      </c>
      <c r="U15" s="2" t="s">
        <v>199</v>
      </c>
      <c r="W15" s="2" t="s">
        <v>208</v>
      </c>
      <c r="X15" s="2" t="s">
        <v>209</v>
      </c>
      <c r="Y15" s="2" t="s">
        <v>205</v>
      </c>
      <c r="Z15" s="2" t="s">
        <v>210</v>
      </c>
      <c r="AA15" s="2" t="s">
        <v>203</v>
      </c>
      <c r="AB15" s="2" t="s">
        <v>211</v>
      </c>
      <c r="AC15" s="2" t="s">
        <v>203</v>
      </c>
      <c r="AD15" s="2" t="s">
        <v>204</v>
      </c>
      <c r="AE15" s="31" t="s">
        <v>272</v>
      </c>
      <c r="AF15" s="2" t="s">
        <v>203</v>
      </c>
      <c r="AG15" s="2" t="s">
        <v>203</v>
      </c>
      <c r="AH15" s="2" t="s">
        <v>203</v>
      </c>
      <c r="AI15" s="2" t="s">
        <v>205</v>
      </c>
      <c r="AJ15" s="2" t="s">
        <v>205</v>
      </c>
      <c r="AK15" s="2" t="s">
        <v>205</v>
      </c>
      <c r="AL15" s="2" t="s">
        <v>270</v>
      </c>
      <c r="AM15" s="2" t="s">
        <v>199</v>
      </c>
      <c r="AN15" s="2" t="s">
        <v>205</v>
      </c>
      <c r="AO15" s="34" t="s">
        <v>203</v>
      </c>
      <c r="AP15" s="2" t="s">
        <v>205</v>
      </c>
      <c r="AQ15" s="1" t="s">
        <v>139</v>
      </c>
      <c r="AS15" s="1" t="s">
        <v>210</v>
      </c>
    </row>
    <row r="16" spans="1:47" ht="20.100000000000001" customHeight="1" x14ac:dyDescent="0.4">
      <c r="A16" s="2" t="s">
        <v>249</v>
      </c>
      <c r="B16" s="2" t="s">
        <v>5</v>
      </c>
      <c r="C16" s="2" t="s">
        <v>141</v>
      </c>
      <c r="D16" s="2" t="s">
        <v>141</v>
      </c>
      <c r="E16" s="2" t="s">
        <v>141</v>
      </c>
      <c r="F16" s="2" t="s">
        <v>228</v>
      </c>
      <c r="G16" s="2" t="s">
        <v>229</v>
      </c>
      <c r="H16" s="2" t="s">
        <v>230</v>
      </c>
      <c r="I16" s="2" t="s">
        <v>230</v>
      </c>
      <c r="J16" s="2" t="s">
        <v>231</v>
      </c>
      <c r="K16" s="2" t="s">
        <v>229</v>
      </c>
      <c r="L16" s="2" t="s">
        <v>232</v>
      </c>
      <c r="M16" s="2" t="s">
        <v>229</v>
      </c>
      <c r="N16" s="2" t="s">
        <v>233</v>
      </c>
      <c r="Q16" s="33" t="s">
        <v>263</v>
      </c>
      <c r="R16" s="2" t="s">
        <v>235</v>
      </c>
      <c r="S16" s="2" t="s">
        <v>334</v>
      </c>
      <c r="T16" s="2" t="s">
        <v>236</v>
      </c>
      <c r="U16" s="2" t="s">
        <v>230</v>
      </c>
      <c r="V16" s="2" t="s">
        <v>230</v>
      </c>
      <c r="W16" s="2" t="s">
        <v>230</v>
      </c>
      <c r="X16" s="2" t="s">
        <v>237</v>
      </c>
      <c r="Y16" s="2" t="s">
        <v>230</v>
      </c>
      <c r="Z16" s="2" t="s">
        <v>230</v>
      </c>
      <c r="AA16" s="2" t="s">
        <v>238</v>
      </c>
      <c r="AB16" s="2" t="s">
        <v>239</v>
      </c>
      <c r="AC16" s="2" t="s">
        <v>240</v>
      </c>
      <c r="AD16" s="2" t="s">
        <v>266</v>
      </c>
      <c r="AE16" s="31" t="s">
        <v>266</v>
      </c>
      <c r="AF16" s="2" t="s">
        <v>240</v>
      </c>
      <c r="AG16" s="2" t="s">
        <v>241</v>
      </c>
      <c r="AI16" s="2" t="s">
        <v>242</v>
      </c>
      <c r="AJ16" s="2" t="s">
        <v>234</v>
      </c>
      <c r="AK16" s="2" t="s">
        <v>243</v>
      </c>
      <c r="AL16" s="2" t="s">
        <v>230</v>
      </c>
      <c r="AM16" s="2" t="s">
        <v>230</v>
      </c>
      <c r="AN16" s="2" t="s">
        <v>242</v>
      </c>
      <c r="AO16" s="34" t="s">
        <v>476</v>
      </c>
      <c r="AP16" s="1" t="s">
        <v>234</v>
      </c>
      <c r="AQ16" s="1" t="s">
        <v>285</v>
      </c>
      <c r="AS16" s="1" t="s">
        <v>230</v>
      </c>
    </row>
    <row r="17" spans="1:47" ht="20.100000000000001" customHeight="1" x14ac:dyDescent="0.4">
      <c r="A17" s="2" t="s">
        <v>364</v>
      </c>
      <c r="B17" s="2" t="s">
        <v>5</v>
      </c>
    </row>
    <row r="18" spans="1:47" ht="20.100000000000001" customHeight="1" x14ac:dyDescent="0.4">
      <c r="A18" s="2" t="s">
        <v>378</v>
      </c>
      <c r="B18" s="2" t="s">
        <v>5</v>
      </c>
      <c r="AP18" s="1" t="s">
        <v>364</v>
      </c>
      <c r="AT18" s="1" t="s">
        <v>494</v>
      </c>
      <c r="AU18" s="1" t="s">
        <v>412</v>
      </c>
    </row>
    <row r="19" spans="1:47" ht="20.100000000000001" customHeight="1" x14ac:dyDescent="0.4">
      <c r="A19" s="2" t="s">
        <v>379</v>
      </c>
      <c r="B19" s="2" t="s">
        <v>5</v>
      </c>
      <c r="AT19" s="1" t="s">
        <v>495</v>
      </c>
      <c r="AU19" s="1" t="s">
        <v>413</v>
      </c>
    </row>
    <row r="20" spans="1:47" ht="20.100000000000001" customHeight="1" x14ac:dyDescent="0.4">
      <c r="A20" s="2" t="s">
        <v>420</v>
      </c>
      <c r="B20" s="2" t="s">
        <v>5</v>
      </c>
      <c r="AT20" s="1" t="s">
        <v>419</v>
      </c>
    </row>
    <row r="21" spans="1:47" ht="20.100000000000001" customHeight="1" x14ac:dyDescent="0.4">
      <c r="A21" s="2" t="s">
        <v>365</v>
      </c>
      <c r="B21" s="2" t="s">
        <v>5</v>
      </c>
    </row>
    <row r="22" spans="1:47" ht="20.100000000000001" customHeight="1" x14ac:dyDescent="0.4">
      <c r="A22" s="2" t="s">
        <v>380</v>
      </c>
      <c r="B22" s="2" t="s">
        <v>5</v>
      </c>
      <c r="AP22" s="1" t="s">
        <v>365</v>
      </c>
      <c r="AT22" s="1" t="s">
        <v>496</v>
      </c>
      <c r="AU22" s="1" t="s">
        <v>414</v>
      </c>
    </row>
    <row r="23" spans="1:47" ht="20.100000000000001" customHeight="1" x14ac:dyDescent="0.4">
      <c r="A23" s="2" t="s">
        <v>381</v>
      </c>
      <c r="B23" s="2" t="s">
        <v>5</v>
      </c>
      <c r="AT23" s="1" t="s">
        <v>497</v>
      </c>
    </row>
    <row r="24" spans="1:47" ht="20.100000000000001" customHeight="1" x14ac:dyDescent="0.4">
      <c r="A24" s="2" t="s">
        <v>422</v>
      </c>
      <c r="B24" s="2" t="s">
        <v>5</v>
      </c>
      <c r="AT24" s="1" t="s">
        <v>423</v>
      </c>
    </row>
    <row r="25" spans="1:47" ht="20.100000000000001" customHeight="1" x14ac:dyDescent="0.4">
      <c r="A25" s="2" t="s">
        <v>366</v>
      </c>
      <c r="B25" s="2" t="s">
        <v>5</v>
      </c>
    </row>
    <row r="26" spans="1:47" ht="20.100000000000001" customHeight="1" x14ac:dyDescent="0.4">
      <c r="A26" s="2" t="s">
        <v>382</v>
      </c>
      <c r="B26" s="2" t="s">
        <v>5</v>
      </c>
      <c r="AP26" s="1" t="s">
        <v>366</v>
      </c>
      <c r="AT26" s="1" t="s">
        <v>418</v>
      </c>
    </row>
    <row r="27" spans="1:47" ht="20.100000000000001" customHeight="1" x14ac:dyDescent="0.4">
      <c r="A27" s="2" t="s">
        <v>383</v>
      </c>
      <c r="B27" s="2" t="s">
        <v>5</v>
      </c>
      <c r="AT27" s="1" t="s">
        <v>425</v>
      </c>
    </row>
    <row r="28" spans="1:47" ht="20.100000000000001" customHeight="1" x14ac:dyDescent="0.4">
      <c r="A28" s="2" t="s">
        <v>367</v>
      </c>
      <c r="B28" s="2" t="s">
        <v>5</v>
      </c>
    </row>
    <row r="29" spans="1:47" ht="20.100000000000001" customHeight="1" x14ac:dyDescent="0.4">
      <c r="A29" s="2" t="s">
        <v>384</v>
      </c>
      <c r="B29" s="2" t="s">
        <v>5</v>
      </c>
      <c r="AP29" s="1" t="s">
        <v>367</v>
      </c>
      <c r="AT29" s="1" t="s">
        <v>424</v>
      </c>
    </row>
    <row r="30" spans="1:47" ht="20.100000000000001" customHeight="1" x14ac:dyDescent="0.4">
      <c r="A30" s="2" t="s">
        <v>385</v>
      </c>
      <c r="B30" s="2" t="s">
        <v>5</v>
      </c>
      <c r="AT30" s="1" t="s">
        <v>436</v>
      </c>
    </row>
    <row r="31" spans="1:47" ht="20.100000000000001" customHeight="1" x14ac:dyDescent="0.4">
      <c r="A31" s="2" t="s">
        <v>368</v>
      </c>
      <c r="B31" s="2" t="s">
        <v>5</v>
      </c>
    </row>
    <row r="32" spans="1:47" ht="20.100000000000001" customHeight="1" x14ac:dyDescent="0.4">
      <c r="A32" s="2" t="s">
        <v>386</v>
      </c>
      <c r="B32" s="2" t="s">
        <v>5</v>
      </c>
      <c r="AP32" s="1" t="s">
        <v>368</v>
      </c>
      <c r="AT32" s="1" t="s">
        <v>426</v>
      </c>
    </row>
    <row r="33" spans="1:46" ht="20.100000000000001" customHeight="1" x14ac:dyDescent="0.4">
      <c r="A33" s="2" t="s">
        <v>387</v>
      </c>
      <c r="B33" s="2" t="s">
        <v>5</v>
      </c>
      <c r="AT33" s="1" t="s">
        <v>429</v>
      </c>
    </row>
    <row r="34" spans="1:46" ht="20.100000000000001" customHeight="1" x14ac:dyDescent="0.4">
      <c r="A34" s="2" t="s">
        <v>369</v>
      </c>
      <c r="B34" s="2" t="s">
        <v>5</v>
      </c>
    </row>
    <row r="35" spans="1:46" ht="20.100000000000001" customHeight="1" x14ac:dyDescent="0.4">
      <c r="A35" s="2" t="s">
        <v>388</v>
      </c>
      <c r="B35" s="2" t="s">
        <v>5</v>
      </c>
      <c r="AP35" s="1" t="s">
        <v>369</v>
      </c>
      <c r="AT35" s="1" t="s">
        <v>428</v>
      </c>
    </row>
    <row r="36" spans="1:46" ht="20.100000000000001" customHeight="1" x14ac:dyDescent="0.4">
      <c r="A36" s="2" t="s">
        <v>389</v>
      </c>
      <c r="B36" s="2" t="s">
        <v>5</v>
      </c>
      <c r="AT36" s="1" t="s">
        <v>434</v>
      </c>
    </row>
    <row r="37" spans="1:46" ht="20.100000000000001" customHeight="1" x14ac:dyDescent="0.4">
      <c r="A37" s="2" t="s">
        <v>370</v>
      </c>
      <c r="B37" s="2" t="s">
        <v>5</v>
      </c>
    </row>
    <row r="38" spans="1:46" ht="20.100000000000001" customHeight="1" x14ac:dyDescent="0.4">
      <c r="A38" s="2" t="s">
        <v>390</v>
      </c>
      <c r="B38" s="2" t="s">
        <v>5</v>
      </c>
      <c r="AP38" s="1" t="s">
        <v>370</v>
      </c>
      <c r="AT38" s="1" t="s">
        <v>430</v>
      </c>
    </row>
    <row r="39" spans="1:46" ht="20.100000000000001" customHeight="1" x14ac:dyDescent="0.4">
      <c r="A39" s="2" t="s">
        <v>391</v>
      </c>
      <c r="B39" s="2" t="s">
        <v>5</v>
      </c>
    </row>
    <row r="40" spans="1:46" ht="20.100000000000001" customHeight="1" x14ac:dyDescent="0.4">
      <c r="A40" s="2" t="s">
        <v>371</v>
      </c>
      <c r="B40" s="2" t="s">
        <v>5</v>
      </c>
      <c r="AP40" s="1" t="s">
        <v>371</v>
      </c>
      <c r="AT40" s="1" t="s">
        <v>437</v>
      </c>
    </row>
    <row r="41" spans="1:46" ht="20.100000000000001" customHeight="1" x14ac:dyDescent="0.4">
      <c r="A41" s="2" t="s">
        <v>372</v>
      </c>
      <c r="B41" s="2" t="s">
        <v>5</v>
      </c>
    </row>
    <row r="42" spans="1:46" ht="20.100000000000001" customHeight="1" x14ac:dyDescent="0.4">
      <c r="A42" s="2" t="s">
        <v>394</v>
      </c>
      <c r="B42" s="2" t="s">
        <v>5</v>
      </c>
      <c r="AP42" s="1" t="s">
        <v>372</v>
      </c>
      <c r="AT42" s="1" t="s">
        <v>431</v>
      </c>
    </row>
    <row r="43" spans="1:46" ht="20.100000000000001" customHeight="1" x14ac:dyDescent="0.4">
      <c r="A43" s="2" t="s">
        <v>395</v>
      </c>
      <c r="B43" s="2" t="s">
        <v>5</v>
      </c>
      <c r="AT43" s="1" t="s">
        <v>493</v>
      </c>
    </row>
    <row r="44" spans="1:46" ht="20.100000000000001" customHeight="1" x14ac:dyDescent="0.4">
      <c r="A44" s="2" t="s">
        <v>373</v>
      </c>
      <c r="B44" s="2" t="s">
        <v>5</v>
      </c>
    </row>
    <row r="45" spans="1:46" ht="20.100000000000001" customHeight="1" x14ac:dyDescent="0.4">
      <c r="A45" s="2" t="s">
        <v>392</v>
      </c>
      <c r="B45" s="2" t="s">
        <v>5</v>
      </c>
      <c r="AP45" s="1" t="s">
        <v>373</v>
      </c>
      <c r="AT45" s="1" t="s">
        <v>433</v>
      </c>
    </row>
    <row r="46" spans="1:46" ht="20.100000000000001" customHeight="1" x14ac:dyDescent="0.4">
      <c r="A46" s="2" t="s">
        <v>393</v>
      </c>
      <c r="B46" s="2" t="s">
        <v>5</v>
      </c>
      <c r="AT46" s="1" t="s">
        <v>432</v>
      </c>
    </row>
    <row r="47" spans="1:46" ht="20.100000000000001" customHeight="1" x14ac:dyDescent="0.4">
      <c r="A47" s="2" t="s">
        <v>374</v>
      </c>
      <c r="B47" s="2" t="s">
        <v>5</v>
      </c>
    </row>
    <row r="48" spans="1:46" ht="20.100000000000001" customHeight="1" x14ac:dyDescent="0.4">
      <c r="A48" s="2" t="s">
        <v>396</v>
      </c>
      <c r="B48" s="2" t="s">
        <v>5</v>
      </c>
      <c r="AP48" s="1" t="s">
        <v>374</v>
      </c>
      <c r="AT48" s="1" t="s">
        <v>435</v>
      </c>
    </row>
    <row r="49" spans="1:46" ht="20.100000000000001" customHeight="1" x14ac:dyDescent="0.4">
      <c r="A49" s="2" t="s">
        <v>397</v>
      </c>
      <c r="B49" s="2" t="s">
        <v>5</v>
      </c>
      <c r="AT49" s="1" t="s">
        <v>427</v>
      </c>
    </row>
    <row r="50" spans="1:46" ht="20.100000000000001" customHeight="1" x14ac:dyDescent="0.4">
      <c r="A50" s="2" t="s">
        <v>375</v>
      </c>
      <c r="B50" s="2" t="s">
        <v>5</v>
      </c>
      <c r="AP50" s="1" t="s">
        <v>375</v>
      </c>
      <c r="AT50" s="1" t="s">
        <v>439</v>
      </c>
    </row>
    <row r="51" spans="1:46" ht="20.100000000000001" customHeight="1" x14ac:dyDescent="0.4">
      <c r="A51" s="2" t="s">
        <v>376</v>
      </c>
      <c r="B51" s="2" t="s">
        <v>5</v>
      </c>
      <c r="AP51" s="1" t="s">
        <v>376</v>
      </c>
      <c r="AT51" s="1" t="s">
        <v>421</v>
      </c>
    </row>
    <row r="52" spans="1:46" ht="20.100000000000001" customHeight="1" x14ac:dyDescent="0.4">
      <c r="A52" s="2" t="s">
        <v>377</v>
      </c>
      <c r="B52" s="2" t="s">
        <v>5</v>
      </c>
      <c r="AP52" s="1" t="s">
        <v>377</v>
      </c>
      <c r="AT52" s="1" t="s">
        <v>438</v>
      </c>
    </row>
    <row r="53" spans="1:46" ht="20.100000000000001" customHeight="1" x14ac:dyDescent="0.4">
      <c r="A53" s="48" t="s">
        <v>498</v>
      </c>
      <c r="B53" s="2" t="s">
        <v>5</v>
      </c>
      <c r="AP53" s="48" t="s">
        <v>498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rgb="FF00B050"/>
  </sheetPr>
  <dimension ref="B1:BP62"/>
  <sheetViews>
    <sheetView showGridLines="0" zoomScale="85" zoomScaleNormal="85" workbookViewId="0">
      <selection activeCell="A4" sqref="A4"/>
    </sheetView>
  </sheetViews>
  <sheetFormatPr defaultColWidth="9" defaultRowHeight="60" customHeight="1" x14ac:dyDescent="0.4"/>
  <cols>
    <col min="1" max="1" width="18.625" style="9" customWidth="1"/>
    <col min="2" max="5" width="18.625" style="14" customWidth="1"/>
    <col min="6" max="6" width="23" style="14" bestFit="1" customWidth="1"/>
    <col min="7" max="7" width="9.75" style="14" bestFit="1" customWidth="1"/>
    <col min="8" max="8" width="18.625" style="14" customWidth="1"/>
    <col min="9" max="9" width="18.625" style="9" customWidth="1"/>
    <col min="10" max="14" width="18.625" style="14" customWidth="1"/>
    <col min="15" max="15" width="9" style="9"/>
    <col min="16" max="18" width="18.625" style="14" customWidth="1"/>
    <col min="19" max="19" width="18.625" style="44" customWidth="1"/>
    <col min="20" max="22" width="18.625" style="14" customWidth="1"/>
    <col min="23" max="23" width="18.625" style="44" customWidth="1"/>
    <col min="24" max="26" width="18.625" style="14" customWidth="1"/>
    <col min="27" max="27" width="18.625" style="44" customWidth="1"/>
    <col min="28" max="28" width="9" style="9"/>
    <col min="29" max="31" width="18.625" style="14" customWidth="1"/>
    <col min="32" max="32" width="9" style="9"/>
    <col min="33" max="35" width="18.625" style="14" customWidth="1"/>
    <col min="36" max="36" width="9" style="9"/>
    <col min="37" max="39" width="18.625" style="14" customWidth="1"/>
    <col min="40" max="40" width="9" style="9"/>
    <col min="41" max="43" width="18.625" style="14" customWidth="1"/>
    <col min="44" max="44" width="9" style="9"/>
    <col min="45" max="45" width="18.625" style="14" customWidth="1"/>
    <col min="46" max="46" width="18.5" style="14" bestFit="1" customWidth="1"/>
    <col min="47" max="47" width="18.625" style="14" customWidth="1"/>
    <col min="48" max="48" width="9" style="9"/>
    <col min="49" max="51" width="18.625" style="14" customWidth="1"/>
    <col min="52" max="53" width="9" style="9"/>
    <col min="54" max="56" width="18.625" style="14" customWidth="1"/>
    <col min="57" max="57" width="9" style="9"/>
    <col min="58" max="60" width="18.625" style="14" customWidth="1"/>
    <col min="61" max="61" width="9" style="9"/>
    <col min="62" max="64" width="18.625" style="14" customWidth="1"/>
    <col min="65" max="65" width="9" style="9"/>
    <col min="66" max="68" width="18.625" style="14" customWidth="1"/>
    <col min="69" max="16384" width="9" style="9"/>
  </cols>
  <sheetData>
    <row r="1" spans="2:68" ht="20.100000000000001" customHeight="1" x14ac:dyDescent="0.4">
      <c r="B1" s="9"/>
      <c r="C1" s="9"/>
      <c r="D1" s="9"/>
      <c r="E1" s="9"/>
      <c r="F1" s="9"/>
      <c r="G1" s="9"/>
      <c r="H1" s="9"/>
      <c r="J1" s="9"/>
      <c r="K1" s="9"/>
      <c r="L1" s="9"/>
      <c r="M1" s="9"/>
      <c r="N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C1" s="9"/>
      <c r="AD1" s="9"/>
      <c r="AE1" s="9"/>
      <c r="AG1" s="9"/>
      <c r="AH1" s="9"/>
      <c r="AI1" s="9"/>
      <c r="AK1" s="9"/>
      <c r="AL1" s="9"/>
      <c r="AM1" s="9"/>
      <c r="AO1" s="9"/>
      <c r="AP1" s="9"/>
      <c r="AQ1" s="9"/>
      <c r="AS1" s="9"/>
      <c r="AT1" s="9"/>
      <c r="AU1" s="9"/>
      <c r="AW1" s="9"/>
      <c r="AX1" s="9"/>
      <c r="AY1" s="9"/>
      <c r="BB1" s="9"/>
      <c r="BC1" s="9"/>
      <c r="BD1" s="9"/>
      <c r="BF1" s="9"/>
      <c r="BG1" s="9"/>
      <c r="BH1" s="9"/>
      <c r="BJ1" s="9"/>
      <c r="BK1" s="9"/>
      <c r="BL1" s="9"/>
      <c r="BN1" s="9"/>
      <c r="BO1" s="9"/>
      <c r="BP1" s="9"/>
    </row>
    <row r="2" spans="2:68" s="12" customFormat="1" ht="20.100000000000001" customHeight="1" x14ac:dyDescent="0.4">
      <c r="B2" s="10" t="s">
        <v>108</v>
      </c>
      <c r="C2" s="10" t="str">
        <f>SUBSTITUTE(B2,"_Operation","_FilterValue")</f>
        <v>1_FilterValue</v>
      </c>
      <c r="D2" s="10" t="s">
        <v>245</v>
      </c>
      <c r="E2" s="10" t="str">
        <f>SUBSTITUTE(D2,"_Operation","_FilterValue")</f>
        <v>2_FilterValue</v>
      </c>
      <c r="F2" s="10" t="s">
        <v>256</v>
      </c>
      <c r="G2" s="10" t="str">
        <f>SUBSTITUTE(F2,"_Operation","_FilterValue")</f>
        <v>3_FilterValue</v>
      </c>
      <c r="H2" s="11" t="s">
        <v>254</v>
      </c>
      <c r="J2" s="10" t="s">
        <v>108</v>
      </c>
      <c r="K2" s="10" t="str">
        <f>SUBSTITUTE(J2,"_Operation","_FilterValue")</f>
        <v>1_FilterValue</v>
      </c>
      <c r="L2" s="10" t="s">
        <v>245</v>
      </c>
      <c r="M2" s="10" t="str">
        <f>SUBSTITUTE(L2,"_Operation","_FilterValue")</f>
        <v>2_FilterValue</v>
      </c>
      <c r="N2" s="11" t="s">
        <v>114</v>
      </c>
      <c r="P2" s="10" t="s">
        <v>108</v>
      </c>
      <c r="Q2" s="10" t="str">
        <f>SUBSTITUTE(P2,"_Operation","_FilterValue")</f>
        <v>1_FilterValue</v>
      </c>
      <c r="R2" s="11" t="s">
        <v>114</v>
      </c>
      <c r="T2" s="10" t="s">
        <v>108</v>
      </c>
      <c r="U2" s="10" t="str">
        <f>SUBSTITUTE(T2,"_Operation","_FilterValue")</f>
        <v>1_FilterValue</v>
      </c>
      <c r="V2" s="11" t="s">
        <v>114</v>
      </c>
      <c r="X2" s="10" t="s">
        <v>108</v>
      </c>
      <c r="Y2" s="10" t="str">
        <f>SUBSTITUTE(X2,"_Operation","_FilterValue")</f>
        <v>1_FilterValue</v>
      </c>
      <c r="Z2" s="11" t="s">
        <v>114</v>
      </c>
      <c r="AC2" s="10" t="s">
        <v>108</v>
      </c>
      <c r="AD2" s="10" t="str">
        <f>SUBSTITUTE(AC2,"_Operation","_FilterValue")</f>
        <v>1_FilterValue</v>
      </c>
      <c r="AE2" s="11" t="s">
        <v>114</v>
      </c>
      <c r="AG2" s="10" t="s">
        <v>108</v>
      </c>
      <c r="AH2" s="10" t="str">
        <f>SUBSTITUTE(AG2,"_Operation","_FilterValue")</f>
        <v>1_FilterValue</v>
      </c>
      <c r="AI2" s="11" t="s">
        <v>114</v>
      </c>
      <c r="AK2" s="10" t="s">
        <v>108</v>
      </c>
      <c r="AL2" s="10" t="str">
        <f>SUBSTITUTE(AK2,"_Operation","_FilterValue")</f>
        <v>1_FilterValue</v>
      </c>
      <c r="AM2" s="11" t="s">
        <v>114</v>
      </c>
      <c r="AO2" s="10" t="s">
        <v>108</v>
      </c>
      <c r="AP2" s="10" t="str">
        <f>SUBSTITUTE(AO2,"_Operation","_FilterValue")</f>
        <v>1_FilterValue</v>
      </c>
      <c r="AQ2" s="11" t="s">
        <v>114</v>
      </c>
      <c r="AS2" s="10" t="s">
        <v>108</v>
      </c>
      <c r="AT2" s="10" t="str">
        <f>SUBSTITUTE(AS2,"_Operation","_FilterValue")</f>
        <v>1_FilterValue</v>
      </c>
      <c r="AU2" s="11" t="s">
        <v>114</v>
      </c>
      <c r="AW2" s="10" t="s">
        <v>108</v>
      </c>
      <c r="AX2" s="10" t="str">
        <f>SUBSTITUTE(AW2,"_Operation","_FilterValue")</f>
        <v>1_FilterValue</v>
      </c>
      <c r="AY2" s="11" t="s">
        <v>114</v>
      </c>
      <c r="BB2" s="10" t="s">
        <v>108</v>
      </c>
      <c r="BC2" s="10" t="str">
        <f>SUBSTITUTE(BB2,"_Operation","_FilterValue")</f>
        <v>1_FilterValue</v>
      </c>
      <c r="BD2" s="11" t="s">
        <v>114</v>
      </c>
      <c r="BF2" s="10" t="s">
        <v>108</v>
      </c>
      <c r="BG2" s="10" t="str">
        <f>SUBSTITUTE(BF2,"_Operation","_FilterValue")</f>
        <v>1_FilterValue</v>
      </c>
      <c r="BH2" s="11" t="s">
        <v>114</v>
      </c>
      <c r="BJ2" s="10" t="s">
        <v>108</v>
      </c>
      <c r="BK2" s="10" t="str">
        <f>SUBSTITUTE(BJ2,"_Operation","_FilterValue")</f>
        <v>1_FilterValue</v>
      </c>
      <c r="BL2" s="11" t="s">
        <v>114</v>
      </c>
      <c r="BN2" s="10" t="s">
        <v>108</v>
      </c>
      <c r="BO2" s="10" t="str">
        <f>SUBSTITUTE(BN2,"_Operation","_FilterValue")</f>
        <v>1_FilterValue</v>
      </c>
      <c r="BP2" s="11" t="s">
        <v>114</v>
      </c>
    </row>
    <row r="3" spans="2:68" s="12" customFormat="1" ht="20.100000000000001" customHeight="1" x14ac:dyDescent="0.4">
      <c r="B3" s="13"/>
      <c r="C3" s="13" t="s">
        <v>3</v>
      </c>
      <c r="D3" s="13"/>
      <c r="E3" s="13" t="s">
        <v>246</v>
      </c>
      <c r="F3" s="13"/>
      <c r="G3" s="13" t="s">
        <v>257</v>
      </c>
      <c r="H3" s="13" t="s">
        <v>255</v>
      </c>
      <c r="J3" s="13"/>
      <c r="K3" s="13" t="s">
        <v>3</v>
      </c>
      <c r="L3" s="13"/>
      <c r="M3" s="13" t="s">
        <v>246</v>
      </c>
      <c r="N3" s="13" t="s">
        <v>258</v>
      </c>
      <c r="P3" s="13"/>
      <c r="Q3" s="13" t="s">
        <v>3</v>
      </c>
      <c r="R3" s="13" t="s">
        <v>364</v>
      </c>
      <c r="T3" s="13"/>
      <c r="U3" s="13" t="s">
        <v>3</v>
      </c>
      <c r="V3" s="13" t="s">
        <v>364</v>
      </c>
      <c r="X3" s="13"/>
      <c r="Y3" s="13" t="s">
        <v>3</v>
      </c>
      <c r="Z3" s="13" t="s">
        <v>365</v>
      </c>
      <c r="AC3" s="13"/>
      <c r="AD3" s="13" t="s">
        <v>3</v>
      </c>
      <c r="AE3" s="13" t="s">
        <v>365</v>
      </c>
      <c r="AG3" s="13"/>
      <c r="AH3" s="13" t="s">
        <v>3</v>
      </c>
      <c r="AI3" s="13" t="s">
        <v>366</v>
      </c>
      <c r="AK3" s="13"/>
      <c r="AL3" s="13" t="s">
        <v>3</v>
      </c>
      <c r="AM3" s="13" t="s">
        <v>367</v>
      </c>
      <c r="AO3" s="13"/>
      <c r="AP3" s="13" t="s">
        <v>3</v>
      </c>
      <c r="AQ3" s="13" t="s">
        <v>368</v>
      </c>
      <c r="AS3" s="13"/>
      <c r="AT3" s="13" t="s">
        <v>3</v>
      </c>
      <c r="AU3" s="13" t="s">
        <v>369</v>
      </c>
      <c r="AW3" s="13"/>
      <c r="AX3" s="13" t="s">
        <v>3</v>
      </c>
      <c r="AY3" s="13" t="s">
        <v>370</v>
      </c>
      <c r="BB3" s="13"/>
      <c r="BC3" s="13" t="s">
        <v>3</v>
      </c>
      <c r="BD3" s="13" t="s">
        <v>372</v>
      </c>
      <c r="BF3" s="13"/>
      <c r="BG3" s="13" t="s">
        <v>3</v>
      </c>
      <c r="BH3" s="13" t="s">
        <v>373</v>
      </c>
      <c r="BJ3" s="13"/>
      <c r="BK3" s="13" t="s">
        <v>3</v>
      </c>
      <c r="BL3" s="13" t="s">
        <v>374</v>
      </c>
      <c r="BN3" s="13"/>
      <c r="BO3" s="13" t="s">
        <v>3</v>
      </c>
      <c r="BP3" s="13" t="s">
        <v>498</v>
      </c>
    </row>
    <row r="4" spans="2:68" ht="60" customHeight="1" x14ac:dyDescent="0.4">
      <c r="B4" s="14" t="s">
        <v>11</v>
      </c>
      <c r="C4" s="14" t="s">
        <v>291</v>
      </c>
      <c r="D4" s="14" t="s">
        <v>11</v>
      </c>
      <c r="E4" t="s">
        <v>303</v>
      </c>
      <c r="F4" s="14" t="s">
        <v>12</v>
      </c>
      <c r="G4" s="35" t="s">
        <v>304</v>
      </c>
      <c r="H4" s="14" t="s">
        <v>146</v>
      </c>
      <c r="J4" s="14" t="s">
        <v>11</v>
      </c>
      <c r="K4" s="14" t="s">
        <v>146</v>
      </c>
      <c r="L4" s="14" t="s">
        <v>11</v>
      </c>
      <c r="M4" t="s">
        <v>302</v>
      </c>
      <c r="N4" s="14" t="s">
        <v>488</v>
      </c>
      <c r="P4" s="14" t="s">
        <v>11</v>
      </c>
      <c r="Q4" s="14" t="s">
        <v>453</v>
      </c>
      <c r="R4" s="14" t="s">
        <v>467</v>
      </c>
      <c r="T4" s="14" t="s">
        <v>11</v>
      </c>
      <c r="U4" s="14" t="s">
        <v>459</v>
      </c>
      <c r="V4" s="14" t="s">
        <v>468</v>
      </c>
      <c r="X4" s="14" t="s">
        <v>11</v>
      </c>
      <c r="Y4" s="14" t="s">
        <v>453</v>
      </c>
      <c r="Z4" s="14" t="s">
        <v>469</v>
      </c>
      <c r="AC4" s="14" t="s">
        <v>11</v>
      </c>
      <c r="AD4" s="14" t="s">
        <v>459</v>
      </c>
      <c r="AE4" s="14" t="s">
        <v>470</v>
      </c>
      <c r="AG4" s="14" t="s">
        <v>12</v>
      </c>
      <c r="AH4" s="35" t="s">
        <v>508</v>
      </c>
      <c r="AI4" s="14" t="s">
        <v>440</v>
      </c>
      <c r="AK4" s="14" t="s">
        <v>12</v>
      </c>
      <c r="AL4" s="35" t="s">
        <v>508</v>
      </c>
      <c r="AM4" s="14" t="s">
        <v>441</v>
      </c>
      <c r="AO4" s="14" t="s">
        <v>12</v>
      </c>
      <c r="AP4" s="35" t="s">
        <v>508</v>
      </c>
      <c r="AQ4" s="14" t="s">
        <v>442</v>
      </c>
      <c r="AS4" s="14" t="s">
        <v>12</v>
      </c>
      <c r="AT4" s="35" t="s">
        <v>508</v>
      </c>
      <c r="AU4" s="14" t="s">
        <v>443</v>
      </c>
      <c r="AW4" s="14" t="s">
        <v>12</v>
      </c>
      <c r="AX4" s="35" t="s">
        <v>508</v>
      </c>
      <c r="AY4" s="14" t="s">
        <v>444</v>
      </c>
      <c r="BB4" s="14" t="s">
        <v>12</v>
      </c>
      <c r="BC4" s="35" t="s">
        <v>508</v>
      </c>
      <c r="BD4" s="14" t="s">
        <v>445</v>
      </c>
      <c r="BF4" s="14" t="s">
        <v>12</v>
      </c>
      <c r="BG4" s="35" t="s">
        <v>508</v>
      </c>
      <c r="BH4" s="14" t="s">
        <v>446</v>
      </c>
      <c r="BJ4" s="14" t="s">
        <v>12</v>
      </c>
      <c r="BK4" s="35" t="s">
        <v>508</v>
      </c>
      <c r="BL4" s="14" t="s">
        <v>447</v>
      </c>
      <c r="BN4" s="14" t="s">
        <v>11</v>
      </c>
      <c r="BO4" s="14" t="s">
        <v>453</v>
      </c>
      <c r="BP4" s="14" t="s">
        <v>499</v>
      </c>
    </row>
    <row r="5" spans="2:68" ht="60" customHeight="1" x14ac:dyDescent="0.4">
      <c r="B5" s="14" t="s">
        <v>11</v>
      </c>
      <c r="C5" s="14" t="s">
        <v>155</v>
      </c>
      <c r="F5" s="14" t="s">
        <v>11</v>
      </c>
      <c r="G5" s="14" t="s">
        <v>146</v>
      </c>
      <c r="H5" s="14" t="s">
        <v>146</v>
      </c>
      <c r="J5" s="14" t="s">
        <v>11</v>
      </c>
      <c r="K5" s="14" t="s">
        <v>146</v>
      </c>
      <c r="L5" s="14" t="s">
        <v>11</v>
      </c>
      <c r="M5" s="14" t="s">
        <v>305</v>
      </c>
      <c r="N5" s="14" t="s">
        <v>320</v>
      </c>
      <c r="P5" s="14" t="s">
        <v>11</v>
      </c>
      <c r="Q5" s="14" t="s">
        <v>455</v>
      </c>
      <c r="R5" s="14" t="s">
        <v>467</v>
      </c>
      <c r="T5" s="14" t="s">
        <v>11</v>
      </c>
      <c r="U5" s="14" t="s">
        <v>461</v>
      </c>
      <c r="V5" s="14" t="s">
        <v>468</v>
      </c>
      <c r="X5" s="14" t="s">
        <v>11</v>
      </c>
      <c r="Y5" s="14" t="s">
        <v>455</v>
      </c>
      <c r="Z5" s="14" t="s">
        <v>469</v>
      </c>
      <c r="AC5" s="14" t="s">
        <v>11</v>
      </c>
      <c r="AD5" s="14" t="s">
        <v>461</v>
      </c>
      <c r="AE5" s="14" t="s">
        <v>470</v>
      </c>
      <c r="BN5" s="14" t="s">
        <v>11</v>
      </c>
      <c r="BO5" s="14" t="s">
        <v>455</v>
      </c>
      <c r="BP5" s="14" t="s">
        <v>499</v>
      </c>
    </row>
    <row r="6" spans="2:68" ht="60" customHeight="1" x14ac:dyDescent="0.4">
      <c r="B6" s="14" t="s">
        <v>11</v>
      </c>
      <c r="C6" s="14" t="s">
        <v>264</v>
      </c>
      <c r="F6" s="14" t="s">
        <v>11</v>
      </c>
      <c r="G6" s="14" t="s">
        <v>146</v>
      </c>
      <c r="H6" s="14" t="s">
        <v>146</v>
      </c>
      <c r="J6" s="14" t="s">
        <v>11</v>
      </c>
      <c r="K6" s="14" t="s">
        <v>293</v>
      </c>
      <c r="L6" s="14" t="s">
        <v>11</v>
      </c>
      <c r="M6" s="24" t="s">
        <v>309</v>
      </c>
      <c r="N6" s="14" t="s">
        <v>320</v>
      </c>
      <c r="P6" s="14" t="s">
        <v>11</v>
      </c>
      <c r="Q6" s="14" t="s">
        <v>457</v>
      </c>
      <c r="R6" s="14" t="s">
        <v>467</v>
      </c>
      <c r="T6" s="14" t="s">
        <v>11</v>
      </c>
      <c r="U6" s="14" t="s">
        <v>463</v>
      </c>
      <c r="V6" s="14" t="s">
        <v>468</v>
      </c>
      <c r="X6" s="14" t="s">
        <v>11</v>
      </c>
      <c r="Y6" s="14" t="s">
        <v>457</v>
      </c>
      <c r="Z6" s="14" t="s">
        <v>469</v>
      </c>
      <c r="AC6" s="14" t="s">
        <v>11</v>
      </c>
      <c r="AD6" s="14" t="s">
        <v>463</v>
      </c>
      <c r="AE6" s="14" t="s">
        <v>470</v>
      </c>
      <c r="BN6" s="14" t="s">
        <v>11</v>
      </c>
      <c r="BO6" s="14" t="s">
        <v>457</v>
      </c>
      <c r="BP6" s="14" t="s">
        <v>499</v>
      </c>
    </row>
    <row r="7" spans="2:68" ht="60" customHeight="1" x14ac:dyDescent="0.4">
      <c r="B7" s="14" t="s">
        <v>11</v>
      </c>
      <c r="C7" s="14" t="s">
        <v>146</v>
      </c>
      <c r="D7" s="14" t="s">
        <v>11</v>
      </c>
      <c r="E7" s="14" t="s">
        <v>306</v>
      </c>
      <c r="F7" s="14" t="s">
        <v>12</v>
      </c>
      <c r="G7" s="35" t="s">
        <v>307</v>
      </c>
      <c r="H7" s="14" t="s">
        <v>300</v>
      </c>
      <c r="J7" s="14" t="s">
        <v>11</v>
      </c>
      <c r="K7" s="14" t="s">
        <v>292</v>
      </c>
      <c r="L7" s="14" t="s">
        <v>11</v>
      </c>
      <c r="M7" s="14">
        <v>831553</v>
      </c>
      <c r="N7" s="14" t="s">
        <v>488</v>
      </c>
      <c r="P7" s="14" t="s">
        <v>11</v>
      </c>
      <c r="Q7" s="14" t="s">
        <v>155</v>
      </c>
      <c r="R7" s="14" t="s">
        <v>467</v>
      </c>
      <c r="T7" s="14" t="s">
        <v>11</v>
      </c>
      <c r="U7" s="14" t="s">
        <v>465</v>
      </c>
      <c r="V7" s="14" t="s">
        <v>468</v>
      </c>
      <c r="X7" s="14" t="s">
        <v>11</v>
      </c>
      <c r="Y7" s="14" t="s">
        <v>155</v>
      </c>
      <c r="Z7" s="14" t="s">
        <v>469</v>
      </c>
      <c r="AC7" s="14" t="s">
        <v>11</v>
      </c>
      <c r="AD7" s="14" t="s">
        <v>465</v>
      </c>
      <c r="AE7" s="14" t="s">
        <v>470</v>
      </c>
      <c r="BN7" s="14" t="s">
        <v>11</v>
      </c>
      <c r="BO7" s="14" t="s">
        <v>459</v>
      </c>
      <c r="BP7" s="14" t="s">
        <v>500</v>
      </c>
    </row>
    <row r="8" spans="2:68" ht="60" customHeight="1" x14ac:dyDescent="0.4">
      <c r="B8" s="14" t="s">
        <v>11</v>
      </c>
      <c r="C8" s="14" t="s">
        <v>155</v>
      </c>
      <c r="F8" s="14" t="s">
        <v>11</v>
      </c>
      <c r="G8" s="14" t="s">
        <v>300</v>
      </c>
      <c r="H8" s="14" t="s">
        <v>300</v>
      </c>
      <c r="J8" s="14" t="s">
        <v>11</v>
      </c>
      <c r="K8" s="14" t="s">
        <v>299</v>
      </c>
      <c r="L8" s="14" t="s">
        <v>11</v>
      </c>
      <c r="M8" s="35">
        <v>1033</v>
      </c>
      <c r="N8" s="14" t="s">
        <v>321</v>
      </c>
      <c r="P8" s="14" t="s">
        <v>11</v>
      </c>
      <c r="Q8" s="14" t="s">
        <v>264</v>
      </c>
      <c r="R8" s="14" t="s">
        <v>467</v>
      </c>
      <c r="T8" s="14" t="s">
        <v>11</v>
      </c>
      <c r="U8" s="14" t="s">
        <v>478</v>
      </c>
      <c r="V8" s="14" t="s">
        <v>468</v>
      </c>
      <c r="X8" s="14" t="s">
        <v>11</v>
      </c>
      <c r="Y8" s="14" t="s">
        <v>264</v>
      </c>
      <c r="Z8" s="14" t="s">
        <v>469</v>
      </c>
      <c r="AC8" s="14" t="s">
        <v>11</v>
      </c>
      <c r="AD8" s="14" t="s">
        <v>479</v>
      </c>
      <c r="AE8" s="14" t="s">
        <v>470</v>
      </c>
      <c r="BN8" s="14" t="s">
        <v>11</v>
      </c>
      <c r="BO8" s="14" t="s">
        <v>461</v>
      </c>
      <c r="BP8" s="14" t="s">
        <v>500</v>
      </c>
    </row>
    <row r="9" spans="2:68" ht="60" customHeight="1" x14ac:dyDescent="0.4">
      <c r="B9" s="14" t="s">
        <v>11</v>
      </c>
      <c r="C9" s="14" t="s">
        <v>264</v>
      </c>
      <c r="F9" s="14" t="s">
        <v>11</v>
      </c>
      <c r="G9" s="14" t="s">
        <v>300</v>
      </c>
      <c r="H9" s="14" t="s">
        <v>300</v>
      </c>
      <c r="J9" s="14" t="s">
        <v>11</v>
      </c>
      <c r="K9" s="14" t="s">
        <v>165</v>
      </c>
      <c r="L9" s="14" t="s">
        <v>11</v>
      </c>
      <c r="M9" s="36" t="s">
        <v>312</v>
      </c>
      <c r="N9" s="14" t="s">
        <v>322</v>
      </c>
      <c r="T9" s="14" t="s">
        <v>11</v>
      </c>
      <c r="U9" s="14" t="s">
        <v>487</v>
      </c>
      <c r="V9" s="14" t="s">
        <v>468</v>
      </c>
      <c r="AC9" s="14" t="s">
        <v>11</v>
      </c>
      <c r="AD9" s="14" t="s">
        <v>487</v>
      </c>
      <c r="AE9" s="14" t="s">
        <v>470</v>
      </c>
      <c r="AH9" s="35"/>
      <c r="BN9" s="14" t="s">
        <v>11</v>
      </c>
      <c r="BO9" s="14" t="s">
        <v>463</v>
      </c>
      <c r="BP9" s="14" t="s">
        <v>500</v>
      </c>
    </row>
    <row r="10" spans="2:68" ht="60" customHeight="1" x14ac:dyDescent="0.4">
      <c r="B10" s="14" t="s">
        <v>11</v>
      </c>
      <c r="C10" s="14" t="s">
        <v>293</v>
      </c>
      <c r="D10" s="14" t="s">
        <v>11</v>
      </c>
      <c r="E10" s="24" t="s">
        <v>309</v>
      </c>
      <c r="F10" s="14" t="s">
        <v>12</v>
      </c>
      <c r="G10" s="35" t="s">
        <v>310</v>
      </c>
      <c r="H10" s="14" t="s">
        <v>143</v>
      </c>
      <c r="J10" s="14" t="s">
        <v>11</v>
      </c>
      <c r="K10" s="14" t="s">
        <v>148</v>
      </c>
      <c r="L10" s="14" t="s">
        <v>11</v>
      </c>
      <c r="M10" s="14">
        <v>7279</v>
      </c>
      <c r="N10" s="14" t="s">
        <v>321</v>
      </c>
      <c r="T10" s="14" t="s">
        <v>11</v>
      </c>
      <c r="U10" s="14" t="s">
        <v>489</v>
      </c>
      <c r="V10" s="14" t="s">
        <v>468</v>
      </c>
      <c r="AC10" s="14" t="s">
        <v>11</v>
      </c>
      <c r="AD10" s="14" t="s">
        <v>490</v>
      </c>
      <c r="AE10" s="14" t="s">
        <v>470</v>
      </c>
      <c r="BN10" s="14" t="s">
        <v>11</v>
      </c>
      <c r="BO10" s="14" t="s">
        <v>465</v>
      </c>
      <c r="BP10" s="14" t="s">
        <v>500</v>
      </c>
    </row>
    <row r="11" spans="2:68" ht="60" customHeight="1" x14ac:dyDescent="0.4">
      <c r="B11" s="14" t="s">
        <v>11</v>
      </c>
      <c r="C11" s="14" t="s">
        <v>155</v>
      </c>
      <c r="F11" s="14" t="s">
        <v>11</v>
      </c>
      <c r="G11" s="14" t="s">
        <v>143</v>
      </c>
      <c r="H11" s="14" t="s">
        <v>143</v>
      </c>
      <c r="J11" s="14" t="s">
        <v>11</v>
      </c>
      <c r="K11" s="14" t="s">
        <v>147</v>
      </c>
      <c r="L11" s="14" t="s">
        <v>11</v>
      </c>
      <c r="M11" s="14" t="s">
        <v>315</v>
      </c>
      <c r="N11" s="14" t="s">
        <v>322</v>
      </c>
      <c r="T11" s="14" t="s">
        <v>11</v>
      </c>
      <c r="U11" s="14" t="s">
        <v>507</v>
      </c>
      <c r="V11" s="14" t="s">
        <v>468</v>
      </c>
      <c r="AC11" s="14" t="s">
        <v>11</v>
      </c>
      <c r="AD11" s="14" t="s">
        <v>507</v>
      </c>
      <c r="AE11" s="14" t="s">
        <v>470</v>
      </c>
      <c r="BN11" s="14" t="s">
        <v>11</v>
      </c>
      <c r="BO11" s="14" t="s">
        <v>479</v>
      </c>
      <c r="BP11" s="14" t="s">
        <v>500</v>
      </c>
    </row>
    <row r="12" spans="2:68" ht="60" customHeight="1" x14ac:dyDescent="0.4">
      <c r="B12" s="14" t="s">
        <v>11</v>
      </c>
      <c r="C12" s="14" t="s">
        <v>264</v>
      </c>
      <c r="F12" s="14" t="s">
        <v>11</v>
      </c>
      <c r="G12" s="14" t="s">
        <v>143</v>
      </c>
      <c r="H12" s="14" t="s">
        <v>143</v>
      </c>
      <c r="J12" s="14" t="s">
        <v>11</v>
      </c>
      <c r="K12" s="14" t="s">
        <v>158</v>
      </c>
      <c r="L12" s="14" t="s">
        <v>11</v>
      </c>
      <c r="M12" s="14">
        <v>5935511</v>
      </c>
      <c r="N12" s="14" t="s">
        <v>322</v>
      </c>
      <c r="BN12" s="14" t="s">
        <v>11</v>
      </c>
      <c r="BO12" s="14" t="s">
        <v>487</v>
      </c>
      <c r="BP12" s="14" t="s">
        <v>500</v>
      </c>
    </row>
    <row r="13" spans="2:68" ht="60" customHeight="1" x14ac:dyDescent="0.4">
      <c r="B13" s="14" t="s">
        <v>11</v>
      </c>
      <c r="C13" s="14" t="s">
        <v>292</v>
      </c>
      <c r="D13" s="14" t="s">
        <v>11</v>
      </c>
      <c r="E13" s="14">
        <v>831553</v>
      </c>
      <c r="F13" s="14" t="s">
        <v>12</v>
      </c>
      <c r="G13" s="14" t="s">
        <v>311</v>
      </c>
      <c r="H13" s="14" t="s">
        <v>296</v>
      </c>
      <c r="J13" s="14" t="s">
        <v>11</v>
      </c>
      <c r="K13" s="14" t="s">
        <v>153</v>
      </c>
      <c r="L13" s="14" t="s">
        <v>11</v>
      </c>
      <c r="M13" s="27" t="s">
        <v>477</v>
      </c>
      <c r="N13" s="14" t="s">
        <v>322</v>
      </c>
      <c r="BN13" s="14" t="s">
        <v>11</v>
      </c>
      <c r="BO13" s="14" t="s">
        <v>490</v>
      </c>
      <c r="BP13" s="14" t="s">
        <v>500</v>
      </c>
    </row>
    <row r="14" spans="2:68" ht="60" customHeight="1" x14ac:dyDescent="0.4">
      <c r="B14" s="14" t="s">
        <v>11</v>
      </c>
      <c r="C14" s="14" t="s">
        <v>155</v>
      </c>
      <c r="F14" s="14" t="s">
        <v>11</v>
      </c>
      <c r="G14" s="14" t="s">
        <v>296</v>
      </c>
      <c r="H14" s="14" t="s">
        <v>296</v>
      </c>
      <c r="BN14" s="14" t="s">
        <v>11</v>
      </c>
      <c r="BO14" s="14" t="s">
        <v>511</v>
      </c>
      <c r="BP14" s="14" t="s">
        <v>500</v>
      </c>
    </row>
    <row r="15" spans="2:68" ht="60" customHeight="1" x14ac:dyDescent="0.4">
      <c r="B15" s="14" t="s">
        <v>11</v>
      </c>
      <c r="C15" s="14" t="s">
        <v>264</v>
      </c>
      <c r="F15" s="14" t="s">
        <v>11</v>
      </c>
      <c r="G15" s="14" t="s">
        <v>296</v>
      </c>
      <c r="H15" s="14" t="s">
        <v>296</v>
      </c>
    </row>
    <row r="16" spans="2:68" ht="60" customHeight="1" x14ac:dyDescent="0.4">
      <c r="B16" s="14" t="s">
        <v>11</v>
      </c>
      <c r="C16" s="14" t="s">
        <v>299</v>
      </c>
      <c r="D16" s="14" t="s">
        <v>11</v>
      </c>
      <c r="E16" s="35">
        <v>1033</v>
      </c>
      <c r="H16" s="14" t="s">
        <v>319</v>
      </c>
    </row>
    <row r="17" spans="2:8" ht="60" customHeight="1" x14ac:dyDescent="0.4">
      <c r="B17" s="14" t="s">
        <v>11</v>
      </c>
      <c r="C17" s="14" t="s">
        <v>155</v>
      </c>
      <c r="F17" s="14" t="s">
        <v>11</v>
      </c>
      <c r="G17" s="14" t="s">
        <v>319</v>
      </c>
      <c r="H17" s="14" t="s">
        <v>319</v>
      </c>
    </row>
    <row r="18" spans="2:8" ht="60" customHeight="1" x14ac:dyDescent="0.4">
      <c r="B18" s="14" t="s">
        <v>11</v>
      </c>
      <c r="C18" s="14" t="s">
        <v>264</v>
      </c>
      <c r="F18" s="14" t="s">
        <v>11</v>
      </c>
      <c r="G18" s="14" t="s">
        <v>319</v>
      </c>
      <c r="H18" s="14" t="s">
        <v>319</v>
      </c>
    </row>
    <row r="19" spans="2:8" ht="60" customHeight="1" x14ac:dyDescent="0.4">
      <c r="B19" s="14" t="s">
        <v>11</v>
      </c>
      <c r="C19" s="14" t="s">
        <v>165</v>
      </c>
      <c r="D19" s="14" t="s">
        <v>11</v>
      </c>
      <c r="E19" s="36" t="s">
        <v>312</v>
      </c>
      <c r="H19" s="14" t="s">
        <v>165</v>
      </c>
    </row>
    <row r="20" spans="2:8" ht="60" customHeight="1" x14ac:dyDescent="0.4">
      <c r="B20" s="14" t="s">
        <v>11</v>
      </c>
      <c r="C20" s="14" t="s">
        <v>155</v>
      </c>
      <c r="F20" s="14" t="s">
        <v>11</v>
      </c>
      <c r="G20" s="14" t="s">
        <v>165</v>
      </c>
      <c r="H20" s="14" t="s">
        <v>165</v>
      </c>
    </row>
    <row r="21" spans="2:8" ht="60" customHeight="1" x14ac:dyDescent="0.4">
      <c r="B21" s="14" t="s">
        <v>11</v>
      </c>
      <c r="C21" s="14" t="s">
        <v>264</v>
      </c>
      <c r="F21" s="14" t="s">
        <v>11</v>
      </c>
      <c r="G21" s="14" t="s">
        <v>165</v>
      </c>
      <c r="H21" s="14" t="s">
        <v>165</v>
      </c>
    </row>
    <row r="22" spans="2:8" ht="60" customHeight="1" x14ac:dyDescent="0.4">
      <c r="B22" s="14" t="s">
        <v>11</v>
      </c>
      <c r="C22" s="14" t="s">
        <v>155</v>
      </c>
      <c r="F22" s="14" t="s">
        <v>11</v>
      </c>
      <c r="G22" s="14" t="s">
        <v>313</v>
      </c>
      <c r="H22" s="14" t="s">
        <v>313</v>
      </c>
    </row>
    <row r="23" spans="2:8" ht="60" customHeight="1" x14ac:dyDescent="0.4">
      <c r="B23" s="14" t="s">
        <v>11</v>
      </c>
      <c r="C23" s="14" t="s">
        <v>264</v>
      </c>
      <c r="F23" s="14" t="s">
        <v>11</v>
      </c>
      <c r="G23" s="14" t="s">
        <v>313</v>
      </c>
      <c r="H23" s="14" t="s">
        <v>313</v>
      </c>
    </row>
    <row r="24" spans="2:8" ht="60" customHeight="1" x14ac:dyDescent="0.4">
      <c r="B24" s="14" t="s">
        <v>11</v>
      </c>
      <c r="C24" s="14" t="s">
        <v>148</v>
      </c>
      <c r="D24" s="14" t="s">
        <v>11</v>
      </c>
      <c r="E24" s="14">
        <v>7279</v>
      </c>
      <c r="H24" s="14" t="s">
        <v>148</v>
      </c>
    </row>
    <row r="25" spans="2:8" ht="60" customHeight="1" x14ac:dyDescent="0.4">
      <c r="B25" s="14" t="s">
        <v>11</v>
      </c>
      <c r="C25" s="14" t="s">
        <v>155</v>
      </c>
      <c r="F25" s="14" t="s">
        <v>11</v>
      </c>
      <c r="G25" s="14" t="s">
        <v>148</v>
      </c>
      <c r="H25" s="14" t="s">
        <v>148</v>
      </c>
    </row>
    <row r="26" spans="2:8" ht="60" customHeight="1" x14ac:dyDescent="0.4">
      <c r="B26" s="14" t="s">
        <v>11</v>
      </c>
      <c r="C26" s="14" t="s">
        <v>264</v>
      </c>
      <c r="F26" s="14" t="s">
        <v>11</v>
      </c>
      <c r="G26" s="14" t="s">
        <v>148</v>
      </c>
      <c r="H26" s="14" t="s">
        <v>148</v>
      </c>
    </row>
    <row r="27" spans="2:8" ht="60" customHeight="1" x14ac:dyDescent="0.4">
      <c r="B27" s="14" t="s">
        <v>11</v>
      </c>
      <c r="C27" s="14" t="s">
        <v>147</v>
      </c>
      <c r="D27" s="14" t="s">
        <v>11</v>
      </c>
      <c r="E27" s="14" t="s">
        <v>315</v>
      </c>
      <c r="H27" s="14" t="s">
        <v>316</v>
      </c>
    </row>
    <row r="28" spans="2:8" ht="60" customHeight="1" x14ac:dyDescent="0.4">
      <c r="B28" s="14" t="s">
        <v>11</v>
      </c>
      <c r="C28" s="14" t="s">
        <v>155</v>
      </c>
      <c r="F28" s="14" t="s">
        <v>11</v>
      </c>
      <c r="G28" s="14" t="s">
        <v>316</v>
      </c>
      <c r="H28" s="14" t="s">
        <v>316</v>
      </c>
    </row>
    <row r="29" spans="2:8" ht="60" customHeight="1" x14ac:dyDescent="0.4">
      <c r="B29" s="14" t="s">
        <v>11</v>
      </c>
      <c r="C29" s="14" t="s">
        <v>264</v>
      </c>
      <c r="F29" s="14" t="s">
        <v>11</v>
      </c>
      <c r="G29" s="14" t="s">
        <v>316</v>
      </c>
      <c r="H29" s="14" t="s">
        <v>316</v>
      </c>
    </row>
    <row r="30" spans="2:8" ht="60" customHeight="1" x14ac:dyDescent="0.4">
      <c r="B30" s="14" t="s">
        <v>11</v>
      </c>
      <c r="C30" s="14" t="s">
        <v>155</v>
      </c>
      <c r="F30" s="14" t="s">
        <v>11</v>
      </c>
      <c r="G30" s="14" t="s">
        <v>317</v>
      </c>
      <c r="H30" s="14" t="s">
        <v>317</v>
      </c>
    </row>
    <row r="31" spans="2:8" ht="60" customHeight="1" x14ac:dyDescent="0.4">
      <c r="B31" s="14" t="s">
        <v>11</v>
      </c>
      <c r="C31" s="14" t="s">
        <v>264</v>
      </c>
      <c r="F31" s="14" t="s">
        <v>11</v>
      </c>
      <c r="G31" s="14" t="s">
        <v>317</v>
      </c>
      <c r="H31" s="14" t="s">
        <v>317</v>
      </c>
    </row>
    <row r="32" spans="2:8" ht="60" customHeight="1" x14ac:dyDescent="0.4">
      <c r="B32" s="14" t="s">
        <v>11</v>
      </c>
      <c r="C32" s="14" t="s">
        <v>158</v>
      </c>
      <c r="D32" s="14" t="s">
        <v>11</v>
      </c>
      <c r="E32" s="14">
        <v>5935511</v>
      </c>
      <c r="H32" s="14" t="s">
        <v>158</v>
      </c>
    </row>
    <row r="33" spans="2:8" ht="60" customHeight="1" x14ac:dyDescent="0.4">
      <c r="B33" s="14" t="s">
        <v>11</v>
      </c>
      <c r="C33" s="14" t="s">
        <v>155</v>
      </c>
      <c r="F33" s="14" t="s">
        <v>11</v>
      </c>
      <c r="G33" s="14" t="s">
        <v>158</v>
      </c>
      <c r="H33" s="14" t="s">
        <v>158</v>
      </c>
    </row>
    <row r="34" spans="2:8" ht="60" customHeight="1" x14ac:dyDescent="0.4">
      <c r="B34" s="14" t="s">
        <v>11</v>
      </c>
      <c r="C34" s="14" t="s">
        <v>264</v>
      </c>
      <c r="F34" s="14" t="s">
        <v>11</v>
      </c>
      <c r="G34" s="14" t="s">
        <v>158</v>
      </c>
      <c r="H34" s="14" t="s">
        <v>158</v>
      </c>
    </row>
    <row r="35" spans="2:8" ht="60" customHeight="1" x14ac:dyDescent="0.4">
      <c r="B35" s="14" t="s">
        <v>11</v>
      </c>
      <c r="C35" s="14" t="s">
        <v>454</v>
      </c>
      <c r="D35" s="14" t="s">
        <v>11</v>
      </c>
      <c r="E35" t="s">
        <v>303</v>
      </c>
      <c r="F35" s="14" t="s">
        <v>12</v>
      </c>
      <c r="G35" s="35" t="s">
        <v>304</v>
      </c>
      <c r="H35" s="14" t="s">
        <v>146</v>
      </c>
    </row>
    <row r="36" spans="2:8" ht="60" customHeight="1" x14ac:dyDescent="0.4">
      <c r="B36" s="14" t="s">
        <v>11</v>
      </c>
      <c r="C36" s="14" t="s">
        <v>454</v>
      </c>
      <c r="D36" s="14" t="s">
        <v>11</v>
      </c>
      <c r="E36" s="14" t="s">
        <v>306</v>
      </c>
      <c r="F36" s="14" t="s">
        <v>12</v>
      </c>
      <c r="G36" s="35" t="s">
        <v>307</v>
      </c>
      <c r="H36" s="14" t="s">
        <v>300</v>
      </c>
    </row>
    <row r="37" spans="2:8" ht="60" customHeight="1" x14ac:dyDescent="0.4">
      <c r="B37" s="14" t="s">
        <v>11</v>
      </c>
      <c r="C37" s="14" t="s">
        <v>456</v>
      </c>
      <c r="D37" s="14" t="s">
        <v>11</v>
      </c>
      <c r="E37" s="24" t="s">
        <v>309</v>
      </c>
      <c r="F37" s="14" t="s">
        <v>12</v>
      </c>
      <c r="G37" s="35" t="s">
        <v>310</v>
      </c>
      <c r="H37" s="14" t="s">
        <v>143</v>
      </c>
    </row>
    <row r="38" spans="2:8" ht="60" customHeight="1" x14ac:dyDescent="0.4">
      <c r="B38" s="14" t="s">
        <v>11</v>
      </c>
      <c r="C38" s="14" t="s">
        <v>458</v>
      </c>
      <c r="D38" s="14" t="s">
        <v>11</v>
      </c>
      <c r="E38" s="14">
        <v>831553</v>
      </c>
      <c r="F38" s="14" t="s">
        <v>12</v>
      </c>
      <c r="G38" s="14" t="s">
        <v>311</v>
      </c>
      <c r="H38" s="14" t="s">
        <v>296</v>
      </c>
    </row>
    <row r="39" spans="2:8" ht="60" customHeight="1" x14ac:dyDescent="0.4">
      <c r="B39" s="14" t="s">
        <v>11</v>
      </c>
      <c r="C39" s="14" t="s">
        <v>460</v>
      </c>
      <c r="D39" s="14" t="s">
        <v>11</v>
      </c>
      <c r="E39" s="35">
        <v>1033</v>
      </c>
      <c r="H39" s="14" t="s">
        <v>319</v>
      </c>
    </row>
    <row r="40" spans="2:8" ht="60" customHeight="1" x14ac:dyDescent="0.4">
      <c r="B40" s="14" t="s">
        <v>11</v>
      </c>
      <c r="C40" s="14" t="s">
        <v>462</v>
      </c>
      <c r="D40" s="14" t="s">
        <v>11</v>
      </c>
      <c r="E40" s="14" t="s">
        <v>315</v>
      </c>
      <c r="H40" s="14" t="s">
        <v>316</v>
      </c>
    </row>
    <row r="41" spans="2:8" ht="60" customHeight="1" x14ac:dyDescent="0.4">
      <c r="B41" s="14" t="s">
        <v>11</v>
      </c>
      <c r="C41" s="14" t="s">
        <v>464</v>
      </c>
      <c r="D41" s="14" t="s">
        <v>11</v>
      </c>
      <c r="E41" s="14">
        <v>5935511</v>
      </c>
      <c r="H41" s="14" t="s">
        <v>158</v>
      </c>
    </row>
    <row r="42" spans="2:8" ht="60" customHeight="1" x14ac:dyDescent="0.4">
      <c r="B42" s="14" t="s">
        <v>11</v>
      </c>
      <c r="C42" s="14" t="s">
        <v>465</v>
      </c>
      <c r="D42" s="14" t="s">
        <v>11</v>
      </c>
      <c r="E42" s="14" t="s">
        <v>466</v>
      </c>
      <c r="H42" s="14" t="s">
        <v>317</v>
      </c>
    </row>
    <row r="43" spans="2:8" ht="60" customHeight="1" x14ac:dyDescent="0.4">
      <c r="B43" s="14" t="s">
        <v>11</v>
      </c>
      <c r="C43" s="14" t="s">
        <v>456</v>
      </c>
      <c r="D43" s="14" t="s">
        <v>11</v>
      </c>
      <c r="E43" s="14" t="s">
        <v>471</v>
      </c>
      <c r="H43" s="14" t="s">
        <v>313</v>
      </c>
    </row>
    <row r="44" spans="2:8" ht="60" customHeight="1" x14ac:dyDescent="0.4">
      <c r="B44" s="14" t="s">
        <v>11</v>
      </c>
      <c r="C44" s="14" t="s">
        <v>155</v>
      </c>
      <c r="F44" s="14" t="s">
        <v>11</v>
      </c>
      <c r="G44" s="14" t="s">
        <v>472</v>
      </c>
      <c r="H44" s="14" t="s">
        <v>472</v>
      </c>
    </row>
    <row r="45" spans="2:8" ht="60" customHeight="1" x14ac:dyDescent="0.4">
      <c r="B45" s="14" t="s">
        <v>11</v>
      </c>
      <c r="C45" s="14" t="s">
        <v>264</v>
      </c>
      <c r="F45" s="14" t="s">
        <v>11</v>
      </c>
      <c r="G45" s="14" t="s">
        <v>472</v>
      </c>
      <c r="H45" s="14" t="s">
        <v>472</v>
      </c>
    </row>
    <row r="46" spans="2:8" ht="60" customHeight="1" x14ac:dyDescent="0.4">
      <c r="B46" s="14" t="s">
        <v>11</v>
      </c>
      <c r="C46" s="14" t="s">
        <v>153</v>
      </c>
      <c r="D46" s="14" t="s">
        <v>11</v>
      </c>
      <c r="E46" s="27" t="s">
        <v>477</v>
      </c>
      <c r="H46" s="14" t="s">
        <v>153</v>
      </c>
    </row>
    <row r="47" spans="2:8" ht="60" customHeight="1" x14ac:dyDescent="0.4">
      <c r="B47" s="14" t="s">
        <v>11</v>
      </c>
      <c r="C47" s="14" t="s">
        <v>155</v>
      </c>
      <c r="F47" s="14" t="s">
        <v>11</v>
      </c>
      <c r="G47" s="14" t="s">
        <v>153</v>
      </c>
      <c r="H47" s="14" t="s">
        <v>153</v>
      </c>
    </row>
    <row r="48" spans="2:8" ht="60" customHeight="1" x14ac:dyDescent="0.4">
      <c r="B48" s="14" t="s">
        <v>11</v>
      </c>
      <c r="C48" s="14" t="s">
        <v>264</v>
      </c>
      <c r="F48" s="14" t="s">
        <v>11</v>
      </c>
      <c r="G48" s="14" t="s">
        <v>153</v>
      </c>
      <c r="H48" s="14" t="s">
        <v>153</v>
      </c>
    </row>
    <row r="49" spans="2:8" ht="60" customHeight="1" x14ac:dyDescent="0.4">
      <c r="B49" s="14" t="s">
        <v>11</v>
      </c>
      <c r="C49" s="14" t="s">
        <v>479</v>
      </c>
      <c r="D49" s="14" t="s">
        <v>11</v>
      </c>
      <c r="E49" s="14" t="s">
        <v>480</v>
      </c>
      <c r="H49" s="14" t="s">
        <v>153</v>
      </c>
    </row>
    <row r="50" spans="2:8" ht="60" customHeight="1" x14ac:dyDescent="0.4">
      <c r="B50" s="14" t="s">
        <v>11</v>
      </c>
      <c r="C50" s="14" t="s">
        <v>487</v>
      </c>
      <c r="D50" s="14" t="s">
        <v>11</v>
      </c>
      <c r="E50" s="46" t="s">
        <v>485</v>
      </c>
      <c r="H50" s="14" t="s">
        <v>484</v>
      </c>
    </row>
    <row r="51" spans="2:8" ht="60" customHeight="1" x14ac:dyDescent="0.4">
      <c r="B51" s="14" t="s">
        <v>11</v>
      </c>
      <c r="C51" s="47" t="s">
        <v>490</v>
      </c>
      <c r="D51" s="14" t="s">
        <v>11</v>
      </c>
      <c r="E51" s="47">
        <v>678</v>
      </c>
      <c r="H51" s="14" t="s">
        <v>319</v>
      </c>
    </row>
    <row r="52" spans="2:8" ht="60" customHeight="1" x14ac:dyDescent="0.4">
      <c r="B52" s="14" t="s">
        <v>11</v>
      </c>
      <c r="C52" s="14" t="s">
        <v>155</v>
      </c>
      <c r="F52" s="14" t="s">
        <v>11</v>
      </c>
      <c r="G52" s="14" t="s">
        <v>501</v>
      </c>
      <c r="H52" s="14" t="s">
        <v>501</v>
      </c>
    </row>
    <row r="53" spans="2:8" ht="60" customHeight="1" x14ac:dyDescent="0.4">
      <c r="B53" s="14" t="s">
        <v>11</v>
      </c>
      <c r="C53" s="14" t="s">
        <v>264</v>
      </c>
      <c r="F53" s="14" t="s">
        <v>11</v>
      </c>
      <c r="G53" s="14" t="s">
        <v>501</v>
      </c>
      <c r="H53" s="14" t="s">
        <v>501</v>
      </c>
    </row>
    <row r="54" spans="2:8" ht="60" customHeight="1" x14ac:dyDescent="0.4">
      <c r="B54" s="14" t="s">
        <v>11</v>
      </c>
      <c r="C54" s="14" t="s">
        <v>155</v>
      </c>
      <c r="F54" s="14" t="s">
        <v>11</v>
      </c>
      <c r="G54" s="14" t="s">
        <v>502</v>
      </c>
      <c r="H54" s="14" t="s">
        <v>502</v>
      </c>
    </row>
    <row r="55" spans="2:8" ht="60" customHeight="1" x14ac:dyDescent="0.4">
      <c r="B55" s="14" t="s">
        <v>11</v>
      </c>
      <c r="C55" s="14" t="s">
        <v>264</v>
      </c>
      <c r="F55" s="14" t="s">
        <v>11</v>
      </c>
      <c r="G55" s="14" t="s">
        <v>502</v>
      </c>
      <c r="H55" s="14" t="s">
        <v>502</v>
      </c>
    </row>
    <row r="56" spans="2:8" ht="60" customHeight="1" x14ac:dyDescent="0.4">
      <c r="B56" s="14" t="s">
        <v>11</v>
      </c>
      <c r="C56" s="14" t="s">
        <v>155</v>
      </c>
      <c r="F56" s="14" t="s">
        <v>11</v>
      </c>
      <c r="G56" s="14" t="s">
        <v>503</v>
      </c>
      <c r="H56" s="14" t="s">
        <v>503</v>
      </c>
    </row>
    <row r="57" spans="2:8" ht="60" customHeight="1" x14ac:dyDescent="0.4">
      <c r="B57" s="14" t="s">
        <v>11</v>
      </c>
      <c r="C57" s="14" t="s">
        <v>264</v>
      </c>
      <c r="F57" s="14" t="s">
        <v>11</v>
      </c>
      <c r="G57" s="14" t="s">
        <v>503</v>
      </c>
      <c r="H57" s="14" t="s">
        <v>503</v>
      </c>
    </row>
    <row r="58" spans="2:8" ht="60" customHeight="1" x14ac:dyDescent="0.4">
      <c r="B58" s="14" t="s">
        <v>11</v>
      </c>
      <c r="C58" s="14" t="s">
        <v>155</v>
      </c>
      <c r="F58" s="14" t="s">
        <v>11</v>
      </c>
      <c r="G58" s="14" t="s">
        <v>504</v>
      </c>
      <c r="H58" s="14" t="s">
        <v>504</v>
      </c>
    </row>
    <row r="59" spans="2:8" ht="60" customHeight="1" x14ac:dyDescent="0.4">
      <c r="B59" s="14" t="s">
        <v>11</v>
      </c>
      <c r="C59" s="14" t="s">
        <v>264</v>
      </c>
      <c r="F59" s="14" t="s">
        <v>11</v>
      </c>
      <c r="G59" s="14" t="s">
        <v>504</v>
      </c>
      <c r="H59" s="14" t="s">
        <v>504</v>
      </c>
    </row>
    <row r="60" spans="2:8" ht="60" customHeight="1" x14ac:dyDescent="0.4">
      <c r="B60" s="14" t="s">
        <v>11</v>
      </c>
      <c r="C60" s="14" t="s">
        <v>155</v>
      </c>
      <c r="F60" s="14" t="s">
        <v>11</v>
      </c>
      <c r="G60" s="14" t="s">
        <v>505</v>
      </c>
      <c r="H60" s="14" t="s">
        <v>505</v>
      </c>
    </row>
    <row r="61" spans="2:8" ht="60" customHeight="1" x14ac:dyDescent="0.4">
      <c r="B61" s="14" t="s">
        <v>11</v>
      </c>
      <c r="C61" s="14" t="s">
        <v>264</v>
      </c>
      <c r="F61" s="14" t="s">
        <v>11</v>
      </c>
      <c r="G61" s="14" t="s">
        <v>505</v>
      </c>
      <c r="H61" s="14" t="s">
        <v>505</v>
      </c>
    </row>
    <row r="62" spans="2:8" ht="60" customHeight="1" x14ac:dyDescent="0.4">
      <c r="B62" s="14" t="s">
        <v>11</v>
      </c>
      <c r="C62" s="47" t="s">
        <v>506</v>
      </c>
      <c r="H62" s="14" t="s">
        <v>503</v>
      </c>
    </row>
  </sheetData>
  <autoFilter ref="A3:BL50" xr:uid="{91978028-EAAC-4079-BCE8-58DE9A051CDB}"/>
  <phoneticPr fontId="1"/>
  <dataValidations disablePrompts="1" count="3">
    <dataValidation type="list" allowBlank="1" showInputMessage="1" showErrorMessage="1" sqref="B2 D2 F2 J2 L2 P2 AC2 AG2 AK2 AO2 AS2 AW2 BB2 BF2 BJ2 T2 X2 BN2" xr:uid="{57470C57-8A86-4E3F-A351-59D21E82E8F9}">
      <formula1>"1_Operation,2_Operation,3_Operation,4_Operation,5_Operation,6_Operation,7_Operation,8_Operation,9_Operation,10_Operation"</formula1>
    </dataValidation>
    <dataValidation type="list" allowBlank="1" showInputMessage="1" showErrorMessage="1" sqref="C2 E2 G2:H2 K2 M2 Q2 AD2 AH2 AL2 AP2 AT2 AX2 BC2 BG2 BK2 U2 Y2 BO2" xr:uid="{A1EEB447-DC31-42FA-B43F-CC6AB1CE61E9}">
      <formula1>"1_FilterValue,2_FilterValue,3_FilterValue,4_FilterValue,5_FilterValue,6_FilterValue,7_FilterValue,8_FilterValue,9_FilterValue,10_FilterValue"</formula1>
    </dataValidation>
    <dataValidation type="list" allowBlank="1" showInputMessage="1" showErrorMessage="1" sqref="H2 N2 BL2 AE2 AI2 AM2 AQ2 AU2 AY2 BD2 BH2 R2:S2 V2:W2 Z2:AA2 BP2" xr:uid="{A712D6E6-72F2-460B-A2AD-B156154C56F4}">
      <formula1>"Calculate,ReturnVal,Category"</formula1>
    </dataValidation>
  </dataValidations>
  <hyperlinks>
    <hyperlink ref="E19" r:id="rId1" xr:uid="{903A1C1B-481C-4C6E-94A5-0F809FDF4132}"/>
    <hyperlink ref="M9" r:id="rId2" xr:uid="{B5CA1B64-ECCA-4AB2-8BBE-81D0A0EF2226}"/>
  </hyperlinks>
  <pageMargins left="0.7" right="0.7" top="0.75" bottom="0.75" header="0.3" footer="0.3"/>
  <pageSetup paperSize="9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724FB4-B264-4817-8D40-890967EB8AA6}">
          <x14:formula1>
            <xm:f>Validation!$A:$A</xm:f>
          </x14:formula1>
          <xm:sqref>L4 F13 F4 F7 F10 AS4:AS1048576 L6:L13 T4:T1048576 X4:Y6 B4:B1048576 AK4:AK1048576 BJ4:BJ1048576 BF4:BF1048576 BB4:BB1048576 AW4:AW1048576 F35:F38 AD4:AD7 P11:P1048576 U4:U7 J4:J1048576 P7:P8 P4:Q6 X7:X1048576 AO4:AO1048576 AG4:AG1048576 BO7:BO10 BN4:BO6 AC4:AC1048576 D4:D1048576 BN7:BN1048576</xm:sqref>
        </x14:dataValidation>
        <x14:dataValidation type="list" allowBlank="1" showInputMessage="1" showErrorMessage="1" xr:uid="{DED31F25-EBD0-479A-A997-428B62D8815E}">
          <x14:formula1>
            <xm:f>Mapping!$A$2:$A$1048576</xm:f>
          </x14:formula1>
          <xm:sqref>C3 E3:H3 K3:N3 BK3:BL3 AD3:AE3 AH3:AI3 AL3:AM3 AP3:AQ3 AT3:AU3 AX3:AY3 BC3:BD3 BG3:BH3 Q3:S3 U3:W3 Y3:AA3 BO3:BP3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I41"/>
  <sheetViews>
    <sheetView showGridLines="0" zoomScaleNormal="100" workbookViewId="0"/>
  </sheetViews>
  <sheetFormatPr defaultColWidth="9" defaultRowHeight="16.5" x14ac:dyDescent="0.4"/>
  <cols>
    <col min="1" max="1" width="27.875" style="19" bestFit="1" customWidth="1"/>
    <col min="2" max="2" width="12.875" style="19" customWidth="1"/>
    <col min="3" max="3" width="9" style="19"/>
    <col min="4" max="4" width="19.125" style="19" bestFit="1" customWidth="1"/>
    <col min="5" max="5" width="9" style="19"/>
    <col min="6" max="7" width="15.625" style="19" customWidth="1"/>
    <col min="8" max="8" width="9" style="19"/>
    <col min="9" max="9" width="15.375" style="19" customWidth="1"/>
    <col min="10" max="16384" width="9" style="18"/>
  </cols>
  <sheetData>
    <row r="1" spans="1:7" x14ac:dyDescent="0.4">
      <c r="A1" s="19" t="s">
        <v>7</v>
      </c>
      <c r="D1" s="19" t="s">
        <v>49</v>
      </c>
      <c r="F1" s="19" t="s">
        <v>72</v>
      </c>
      <c r="G1" s="19" t="s">
        <v>83</v>
      </c>
    </row>
    <row r="2" spans="1:7" x14ac:dyDescent="0.4">
      <c r="A2" s="19" t="s">
        <v>8</v>
      </c>
      <c r="B2" s="20" t="s">
        <v>99</v>
      </c>
      <c r="D2" s="19" t="s">
        <v>50</v>
      </c>
      <c r="F2" s="19" t="s">
        <v>71</v>
      </c>
      <c r="G2" s="19" t="s">
        <v>83</v>
      </c>
    </row>
    <row r="3" spans="1:7" x14ac:dyDescent="0.4">
      <c r="A3" s="19" t="s">
        <v>9</v>
      </c>
      <c r="B3" s="20" t="s">
        <v>102</v>
      </c>
      <c r="D3" s="19" t="s">
        <v>51</v>
      </c>
      <c r="F3" s="19" t="s">
        <v>64</v>
      </c>
      <c r="G3" s="19" t="s">
        <v>83</v>
      </c>
    </row>
    <row r="4" spans="1:7" x14ac:dyDescent="0.4">
      <c r="A4" s="19" t="s">
        <v>43</v>
      </c>
      <c r="D4" s="19" t="s">
        <v>52</v>
      </c>
      <c r="F4" s="19" t="s">
        <v>76</v>
      </c>
      <c r="G4" s="19" t="s">
        <v>83</v>
      </c>
    </row>
    <row r="5" spans="1:7" x14ac:dyDescent="0.4">
      <c r="A5" s="19" t="s">
        <v>10</v>
      </c>
      <c r="D5" s="19" t="s">
        <v>53</v>
      </c>
      <c r="F5" s="19" t="s">
        <v>77</v>
      </c>
      <c r="G5" s="19" t="s">
        <v>83</v>
      </c>
    </row>
    <row r="6" spans="1:7" x14ac:dyDescent="0.4">
      <c r="A6" s="19" t="s">
        <v>11</v>
      </c>
      <c r="D6" s="19" t="s">
        <v>57</v>
      </c>
      <c r="F6" s="19" t="s">
        <v>78</v>
      </c>
      <c r="G6" s="19" t="s">
        <v>83</v>
      </c>
    </row>
    <row r="7" spans="1:7" x14ac:dyDescent="0.4">
      <c r="A7" s="19" t="s">
        <v>12</v>
      </c>
      <c r="D7" s="19" t="s">
        <v>54</v>
      </c>
      <c r="F7" s="19" t="s">
        <v>75</v>
      </c>
      <c r="G7" s="19" t="s">
        <v>83</v>
      </c>
    </row>
    <row r="8" spans="1:7" x14ac:dyDescent="0.4">
      <c r="A8" s="19" t="s">
        <v>13</v>
      </c>
      <c r="D8" s="19" t="s">
        <v>55</v>
      </c>
      <c r="F8" s="19" t="s">
        <v>103</v>
      </c>
      <c r="G8" s="19" t="s">
        <v>83</v>
      </c>
    </row>
    <row r="9" spans="1:7" x14ac:dyDescent="0.4">
      <c r="A9" s="19" t="s">
        <v>14</v>
      </c>
      <c r="D9" s="19" t="s">
        <v>56</v>
      </c>
      <c r="F9" s="19" t="s">
        <v>104</v>
      </c>
      <c r="G9" s="19" t="s">
        <v>83</v>
      </c>
    </row>
    <row r="10" spans="1:7" x14ac:dyDescent="0.4">
      <c r="A10" s="19" t="s">
        <v>44</v>
      </c>
      <c r="D10" s="19" t="s">
        <v>48</v>
      </c>
      <c r="F10" s="19" t="s">
        <v>105</v>
      </c>
      <c r="G10" s="19" t="s">
        <v>83</v>
      </c>
    </row>
    <row r="11" spans="1:7" x14ac:dyDescent="0.4">
      <c r="A11" s="19" t="s">
        <v>15</v>
      </c>
      <c r="D11" s="19" t="s">
        <v>47</v>
      </c>
      <c r="F11" s="19" t="s">
        <v>106</v>
      </c>
      <c r="G11" s="19" t="s">
        <v>83</v>
      </c>
    </row>
    <row r="12" spans="1:7" x14ac:dyDescent="0.4">
      <c r="A12" s="19" t="s">
        <v>16</v>
      </c>
      <c r="F12" s="19" t="s">
        <v>73</v>
      </c>
      <c r="G12" s="19" t="s">
        <v>74</v>
      </c>
    </row>
    <row r="13" spans="1:7" x14ac:dyDescent="0.4">
      <c r="A13" s="19" t="s">
        <v>17</v>
      </c>
      <c r="F13" s="19" t="s">
        <v>79</v>
      </c>
      <c r="G13" s="19" t="s">
        <v>107</v>
      </c>
    </row>
    <row r="14" spans="1:7" x14ac:dyDescent="0.4">
      <c r="A14" s="19" t="s">
        <v>18</v>
      </c>
      <c r="B14" s="19" t="s">
        <v>87</v>
      </c>
      <c r="F14" s="19" t="s">
        <v>80</v>
      </c>
      <c r="G14" s="19" t="s">
        <v>100</v>
      </c>
    </row>
    <row r="15" spans="1:7" x14ac:dyDescent="0.4">
      <c r="A15" s="19" t="s">
        <v>19</v>
      </c>
      <c r="B15" s="19" t="s">
        <v>88</v>
      </c>
    </row>
    <row r="16" spans="1:7" x14ac:dyDescent="0.4">
      <c r="A16" s="19" t="s">
        <v>45</v>
      </c>
      <c r="B16" s="19" t="s">
        <v>89</v>
      </c>
    </row>
    <row r="17" spans="1:7" x14ac:dyDescent="0.4">
      <c r="A17" s="19" t="s">
        <v>20</v>
      </c>
      <c r="B17" s="19" t="s">
        <v>90</v>
      </c>
    </row>
    <row r="18" spans="1:7" x14ac:dyDescent="0.4">
      <c r="A18" s="19" t="s">
        <v>6</v>
      </c>
      <c r="B18" s="19" t="s">
        <v>91</v>
      </c>
      <c r="F18" s="19" t="s">
        <v>82</v>
      </c>
      <c r="G18" s="19" t="s">
        <v>84</v>
      </c>
    </row>
    <row r="19" spans="1:7" x14ac:dyDescent="0.4">
      <c r="A19" s="19" t="s">
        <v>21</v>
      </c>
      <c r="B19" s="19" t="s">
        <v>92</v>
      </c>
      <c r="F19" s="19" t="s">
        <v>81</v>
      </c>
      <c r="G19" s="19" t="s">
        <v>85</v>
      </c>
    </row>
    <row r="20" spans="1:7" x14ac:dyDescent="0.4">
      <c r="A20" s="19" t="s">
        <v>22</v>
      </c>
      <c r="B20" s="19" t="s">
        <v>93</v>
      </c>
    </row>
    <row r="21" spans="1:7" x14ac:dyDescent="0.4">
      <c r="A21" s="19" t="s">
        <v>23</v>
      </c>
      <c r="B21" s="19" t="s">
        <v>94</v>
      </c>
      <c r="F21" s="19" t="s">
        <v>86</v>
      </c>
      <c r="G21" s="19" t="s">
        <v>101</v>
      </c>
    </row>
    <row r="22" spans="1:7" x14ac:dyDescent="0.4">
      <c r="A22" s="19" t="s">
        <v>46</v>
      </c>
      <c r="B22" s="19" t="s">
        <v>95</v>
      </c>
    </row>
    <row r="23" spans="1:7" x14ac:dyDescent="0.4">
      <c r="A23" s="19" t="s">
        <v>24</v>
      </c>
      <c r="B23" s="19" t="s">
        <v>96</v>
      </c>
    </row>
    <row r="24" spans="1:7" x14ac:dyDescent="0.4">
      <c r="A24" s="19" t="s">
        <v>25</v>
      </c>
      <c r="B24" s="19" t="s">
        <v>97</v>
      </c>
    </row>
    <row r="25" spans="1:7" x14ac:dyDescent="0.4">
      <c r="A25" s="19" t="s">
        <v>26</v>
      </c>
      <c r="B25" s="19" t="s">
        <v>98</v>
      </c>
    </row>
    <row r="26" spans="1:7" x14ac:dyDescent="0.4">
      <c r="A26" s="19" t="s">
        <v>27</v>
      </c>
    </row>
    <row r="27" spans="1:7" x14ac:dyDescent="0.4">
      <c r="A27" s="19" t="s">
        <v>28</v>
      </c>
    </row>
    <row r="28" spans="1:7" x14ac:dyDescent="0.4">
      <c r="A28" s="19" t="s">
        <v>29</v>
      </c>
    </row>
    <row r="29" spans="1:7" x14ac:dyDescent="0.4">
      <c r="A29" s="19" t="s">
        <v>30</v>
      </c>
    </row>
    <row r="30" spans="1:7" x14ac:dyDescent="0.4">
      <c r="A30" s="19" t="s">
        <v>39</v>
      </c>
    </row>
    <row r="31" spans="1:7" x14ac:dyDescent="0.4">
      <c r="A31" s="19" t="s">
        <v>40</v>
      </c>
    </row>
    <row r="32" spans="1:7" x14ac:dyDescent="0.4">
      <c r="A32" s="19" t="s">
        <v>31</v>
      </c>
    </row>
    <row r="33" spans="1:1" x14ac:dyDescent="0.4">
      <c r="A33" s="19" t="s">
        <v>32</v>
      </c>
    </row>
    <row r="34" spans="1:1" x14ac:dyDescent="0.4">
      <c r="A34" s="19" t="s">
        <v>33</v>
      </c>
    </row>
    <row r="35" spans="1:1" x14ac:dyDescent="0.4">
      <c r="A35" s="19" t="s">
        <v>34</v>
      </c>
    </row>
    <row r="36" spans="1:1" x14ac:dyDescent="0.4">
      <c r="A36" s="19" t="s">
        <v>35</v>
      </c>
    </row>
    <row r="37" spans="1:1" x14ac:dyDescent="0.4">
      <c r="A37" s="19" t="s">
        <v>36</v>
      </c>
    </row>
    <row r="38" spans="1:1" x14ac:dyDescent="0.4">
      <c r="A38" s="19" t="s">
        <v>41</v>
      </c>
    </row>
    <row r="39" spans="1:1" x14ac:dyDescent="0.4">
      <c r="A39" s="19" t="s">
        <v>42</v>
      </c>
    </row>
    <row r="40" spans="1:1" x14ac:dyDescent="0.4">
      <c r="A40" s="19" t="s">
        <v>37</v>
      </c>
    </row>
    <row r="41" spans="1:1" x14ac:dyDescent="0.4">
      <c r="A41" s="19" t="s">
        <v>38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E6B33-236E-4CD7-A0FF-0840B28BEEEF}">
  <sheetPr codeName="Sheet19"/>
  <dimension ref="A1:G2"/>
  <sheetViews>
    <sheetView showGridLines="0" zoomScale="85" zoomScaleNormal="85" workbookViewId="0">
      <selection activeCell="A4" sqref="A4"/>
    </sheetView>
  </sheetViews>
  <sheetFormatPr defaultColWidth="9" defaultRowHeight="20.100000000000001" customHeight="1" x14ac:dyDescent="0.4"/>
  <cols>
    <col min="1" max="1" width="18.625" style="2" customWidth="1"/>
    <col min="2" max="6" width="18.625" style="21" customWidth="1"/>
    <col min="7" max="7" width="18.625" style="3" customWidth="1"/>
    <col min="8" max="16384" width="9" style="1"/>
  </cols>
  <sheetData>
    <row r="1" spans="1:7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61</v>
      </c>
      <c r="F1" s="6" t="s">
        <v>59</v>
      </c>
      <c r="G1" s="6" t="s">
        <v>124</v>
      </c>
    </row>
    <row r="2" spans="1:7" ht="20.100000000000001" customHeight="1" x14ac:dyDescent="0.4">
      <c r="A2" s="2" t="s">
        <v>294</v>
      </c>
      <c r="B2" s="2" t="s">
        <v>484</v>
      </c>
      <c r="C2" s="26" t="s">
        <v>323</v>
      </c>
      <c r="D2" s="30" t="s">
        <v>485</v>
      </c>
      <c r="E2" s="45" t="s">
        <v>486</v>
      </c>
      <c r="F2" s="30" t="s">
        <v>485</v>
      </c>
      <c r="G2" s="3" t="s">
        <v>295</v>
      </c>
    </row>
  </sheetData>
  <phoneticPr fontId="1"/>
  <conditionalFormatting sqref="F1 F3:F1048576">
    <cfRule type="duplicateValues" dxfId="4" priority="1"/>
  </conditionalFormatting>
  <dataValidations count="2">
    <dataValidation type="list" allowBlank="1" showInputMessage="1" showErrorMessage="1" sqref="G2:G1048576" xr:uid="{44D62DDB-3700-4582-8268-B76EB8CCCAAA}">
      <formula1>_xlfn._xlws.FILTER(#REF!,#REF!="Gunosy")</formula1>
    </dataValidation>
    <dataValidation type="list" allowBlank="1" showInputMessage="1" showErrorMessage="1" sqref="A2:A1048576" xr:uid="{364BD921-6521-49D5-92B2-7965FD1BAE07}">
      <formula1>"ON"</formula1>
    </dataValidation>
  </dataValidations>
  <hyperlinks>
    <hyperlink ref="D2" r:id="rId1" display="mailto:orixlife@amoad.com" xr:uid="{0DE3B5C3-B171-40C1-87DC-DB01B7755B9C}"/>
    <hyperlink ref="F2" r:id="rId2" display="mailto:orixlife@amoad.com" xr:uid="{28A15E6E-FEFE-4352-8963-3FCD81483A37}"/>
  </hyperlinks>
  <pageMargins left="0.7" right="0.7" top="0.75" bottom="0.75" header="0.3" footer="0.3"/>
  <pageSetup paperSize="9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48C67-360C-4CD9-9648-F42DFE260CAC}">
  <sheetPr codeName="Sheet14"/>
  <dimension ref="A1:H1"/>
  <sheetViews>
    <sheetView showGridLines="0" zoomScale="85" zoomScaleNormal="85" workbookViewId="0">
      <selection activeCell="A4" sqref="A4"/>
    </sheetView>
  </sheetViews>
  <sheetFormatPr defaultColWidth="9" defaultRowHeight="20.100000000000001" customHeight="1" x14ac:dyDescent="0.4"/>
  <cols>
    <col min="1" max="1" width="18.625" style="2" customWidth="1"/>
    <col min="2" max="6" width="18.625" style="21" customWidth="1"/>
    <col min="7" max="7" width="18.625" style="3" customWidth="1"/>
    <col min="8" max="8" width="15.625" style="2" customWidth="1"/>
    <col min="9" max="16384" width="9" style="1"/>
  </cols>
  <sheetData>
    <row r="1" spans="1:8" ht="20.100000000000001" customHeight="1" x14ac:dyDescent="0.4">
      <c r="A1" s="4" t="s">
        <v>4</v>
      </c>
      <c r="B1" s="4" t="s">
        <v>0</v>
      </c>
      <c r="C1" s="4" t="s">
        <v>115</v>
      </c>
      <c r="D1" s="4" t="s">
        <v>60</v>
      </c>
      <c r="E1" s="4" t="s">
        <v>61</v>
      </c>
      <c r="F1" s="4" t="s">
        <v>59</v>
      </c>
      <c r="G1" s="4" t="s">
        <v>124</v>
      </c>
      <c r="H1" s="4" t="s">
        <v>116</v>
      </c>
    </row>
  </sheetData>
  <phoneticPr fontId="1"/>
  <dataValidations disablePrompts="1" count="2">
    <dataValidation type="list" allowBlank="1" showInputMessage="1" showErrorMessage="1" sqref="G2:G1048576" xr:uid="{5027B810-1938-4C18-BFDA-50CDDCA82E65}">
      <formula1>"get_campaigns,get_campaigns&amp;total,get_total,dl_summary_report,dl_daily_report"</formula1>
    </dataValidation>
    <dataValidation type="list" allowBlank="1" showInputMessage="1" showErrorMessage="1" sqref="A2:A1048576" xr:uid="{502A98AA-33DB-4FD3-913D-4B3640B48F30}">
      <formula1>"ON"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BB1FE-F884-4D4A-9067-1BB43019DB1A}">
  <sheetPr codeName="Sheet26"/>
  <dimension ref="A1:G1"/>
  <sheetViews>
    <sheetView showGridLines="0" zoomScale="85" zoomScaleNormal="85" workbookViewId="0">
      <selection activeCell="A4" sqref="A4"/>
    </sheetView>
  </sheetViews>
  <sheetFormatPr defaultColWidth="9" defaultRowHeight="20.100000000000001" customHeight="1" x14ac:dyDescent="0.4"/>
  <cols>
    <col min="1" max="1" width="18.625" style="2" customWidth="1"/>
    <col min="2" max="3" width="18.625" style="21" customWidth="1"/>
    <col min="4" max="7" width="18.625" style="3" customWidth="1"/>
    <col min="8" max="16384" width="9" style="1"/>
  </cols>
  <sheetData>
    <row r="1" spans="1:7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61</v>
      </c>
      <c r="F1" s="6" t="s">
        <v>59</v>
      </c>
      <c r="G1" s="6" t="s">
        <v>124</v>
      </c>
    </row>
  </sheetData>
  <phoneticPr fontId="1"/>
  <conditionalFormatting sqref="F1:F1048576">
    <cfRule type="duplicateValues" dxfId="3" priority="1"/>
  </conditionalFormatting>
  <dataValidations count="2">
    <dataValidation type="list" allowBlank="1" showInputMessage="1" showErrorMessage="1" sqref="A2:A1048576" xr:uid="{377C4A23-2FF3-4222-A32B-9FFBD5D895F6}">
      <formula1>"ON"</formula1>
    </dataValidation>
    <dataValidation type="list" allowBlank="1" showInputMessage="1" showErrorMessage="1" sqref="G2:G1048576" xr:uid="{AE626D9D-4406-4CA9-94DA-3A744D322F46}">
      <formula1>"get_campaigns"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58504-71AB-4040-B5E2-254B42193146}">
  <sheetPr codeName="Sheet33"/>
  <dimension ref="A1:J2"/>
  <sheetViews>
    <sheetView showGridLines="0" zoomScale="85" zoomScaleNormal="85" workbookViewId="0">
      <selection activeCell="A4" sqref="A4"/>
    </sheetView>
  </sheetViews>
  <sheetFormatPr defaultColWidth="9" defaultRowHeight="20.100000000000001" customHeight="1" x14ac:dyDescent="0.4"/>
  <cols>
    <col min="1" max="1" width="18.625" style="2" customWidth="1"/>
    <col min="2" max="3" width="18.625" style="21" customWidth="1"/>
    <col min="4" max="7" width="18.625" style="3" customWidth="1"/>
    <col min="8" max="8" width="23.375" style="3" customWidth="1"/>
    <col min="9" max="10" width="20.625" style="2" customWidth="1"/>
    <col min="11" max="16384" width="9" style="1"/>
  </cols>
  <sheetData>
    <row r="1" spans="1:10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61</v>
      </c>
      <c r="F1" s="6" t="s">
        <v>126</v>
      </c>
      <c r="G1" s="6" t="s">
        <v>59</v>
      </c>
      <c r="H1" s="6" t="s">
        <v>124</v>
      </c>
      <c r="I1" s="6" t="s">
        <v>116</v>
      </c>
      <c r="J1" s="5" t="s">
        <v>117</v>
      </c>
    </row>
    <row r="2" spans="1:10" ht="20.100000000000001" customHeight="1" x14ac:dyDescent="0.4">
      <c r="C2" s="26"/>
      <c r="D2" s="30"/>
    </row>
  </sheetData>
  <phoneticPr fontId="1"/>
  <conditionalFormatting sqref="G1:G1048576">
    <cfRule type="duplicateValues" dxfId="2" priority="1"/>
  </conditionalFormatting>
  <dataValidations count="2">
    <dataValidation type="list" allowBlank="1" showInputMessage="1" showErrorMessage="1" sqref="A2:A1048576" xr:uid="{E1459302-A1E6-435F-8A33-70B27E6B97E9}">
      <formula1>"ON"</formula1>
    </dataValidation>
    <dataValidation type="list" allowBlank="1" showInputMessage="1" showErrorMessage="1" sqref="H2:H1048576" xr:uid="{2C270164-E272-431A-A52D-145D138FDEEB}">
      <formula1>"get_campaigns"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481B5-793F-4DF0-9806-D45BAC704932}">
  <sheetPr codeName="Sheet13"/>
  <dimension ref="A1:I3"/>
  <sheetViews>
    <sheetView showGridLines="0" zoomScale="85" zoomScaleNormal="85" workbookViewId="0">
      <selection activeCell="H4" sqref="H1:H1048576"/>
    </sheetView>
  </sheetViews>
  <sheetFormatPr defaultColWidth="9" defaultRowHeight="20.100000000000001" customHeight="1" x14ac:dyDescent="0.4"/>
  <cols>
    <col min="1" max="1" width="18.625" style="2" customWidth="1"/>
    <col min="2" max="7" width="18.625" style="21" customWidth="1"/>
    <col min="8" max="8" width="22.5" style="21" bestFit="1" customWidth="1"/>
    <col min="9" max="9" width="18.625" style="2" customWidth="1"/>
    <col min="10" max="16384" width="9" style="1"/>
  </cols>
  <sheetData>
    <row r="1" spans="1:9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61</v>
      </c>
      <c r="F1" s="6" t="s">
        <v>59</v>
      </c>
      <c r="G1" s="6" t="s">
        <v>125</v>
      </c>
      <c r="H1" s="6" t="s">
        <v>124</v>
      </c>
      <c r="I1" s="4" t="s">
        <v>116</v>
      </c>
    </row>
    <row r="3" spans="1:9" ht="20.100000000000001" customHeight="1" x14ac:dyDescent="0.4">
      <c r="G3" s="21" t="s">
        <v>512</v>
      </c>
    </row>
  </sheetData>
  <phoneticPr fontId="1"/>
  <dataValidations count="4">
    <dataValidation type="list" allowBlank="1" showInputMessage="1" sqref="G2:G1048576" xr:uid="{656A715C-C784-4CFB-8993-4D62C5789564}">
      <formula1>"UTC,Asia/Tokyo"</formula1>
    </dataValidation>
    <dataValidation type="list" allowBlank="1" showInputMessage="1" sqref="B2:B1048576" xr:uid="{57ACE0DC-1864-4C30-8B29-6DCF72D92ECE}">
      <formula1>"ASA"</formula1>
    </dataValidation>
    <dataValidation type="list" allowBlank="1" showInputMessage="1" showErrorMessage="1" sqref="A2:A1048576" xr:uid="{E2789168-98B3-413D-B6C8-E65FD458EB15}">
      <formula1>"ON"</formula1>
    </dataValidation>
    <dataValidation type="list" allowBlank="1" showInputMessage="1" sqref="H2:H1048576" xr:uid="{DC021F35-0607-4AE1-9C26-BB1B9EC1E463}">
      <formula1>"get_campaigns,get_total,get_campaigns&amp;total"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2244E-1DE2-43C5-94CF-594818CCBB74}">
  <sheetPr codeName="Sheet28">
    <tabColor theme="9"/>
  </sheetPr>
  <dimension ref="A1:J3"/>
  <sheetViews>
    <sheetView showGridLines="0" zoomScale="85" zoomScaleNormal="85" workbookViewId="0">
      <selection activeCell="A4" sqref="A4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4" width="18.625" style="2" customWidth="1"/>
    <col min="5" max="9" width="18.625" style="3" customWidth="1"/>
    <col min="10" max="16384" width="9" style="1"/>
  </cols>
  <sheetData>
    <row r="1" spans="1:10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65</v>
      </c>
      <c r="F1" s="6" t="s">
        <v>59</v>
      </c>
      <c r="G1" s="6" t="s">
        <v>62</v>
      </c>
      <c r="H1" s="6" t="s">
        <v>58</v>
      </c>
      <c r="I1" s="6" t="s">
        <v>66</v>
      </c>
    </row>
    <row r="2" spans="1:10" ht="20.100000000000001" customHeight="1" x14ac:dyDescent="0.4">
      <c r="A2" s="21" t="s">
        <v>294</v>
      </c>
      <c r="B2" s="2" t="s">
        <v>473</v>
      </c>
      <c r="C2" s="26" t="s">
        <v>324</v>
      </c>
      <c r="D2" s="49" t="s">
        <v>510</v>
      </c>
      <c r="E2" s="27" t="s">
        <v>475</v>
      </c>
      <c r="F2" s="27" t="s">
        <v>477</v>
      </c>
      <c r="G2" s="28" t="s">
        <v>483</v>
      </c>
      <c r="H2" s="3" t="s">
        <v>509</v>
      </c>
      <c r="J2" s="28" t="s">
        <v>481</v>
      </c>
    </row>
    <row r="3" spans="1:10" ht="20.100000000000001" customHeight="1" x14ac:dyDescent="0.4">
      <c r="D3" s="30" t="s">
        <v>491</v>
      </c>
      <c r="G3" s="28" t="s">
        <v>483</v>
      </c>
    </row>
  </sheetData>
  <phoneticPr fontId="1"/>
  <dataValidations count="2">
    <dataValidation type="list" allowBlank="1" showInputMessage="1" showErrorMessage="1" sqref="H2:H1048576" xr:uid="{5D47F9FE-3B2F-41B0-AEF4-7FCF186CB6A7}">
      <formula1>"campaigns,adsets,ads,reporting"</formula1>
    </dataValidation>
    <dataValidation type="list" allowBlank="1" showInputMessage="1" showErrorMessage="1" sqref="A3:A1048576" xr:uid="{3FE89A56-5E88-44E0-BF70-971B4520C60B}">
      <formula1>"ON"</formula1>
    </dataValidation>
  </dataValidations>
  <hyperlinks>
    <hyperlink ref="D3" r:id="rId1" xr:uid="{05908C29-F57B-4B7E-98E5-1DAA173AC2A0}"/>
  </hyperlinks>
  <pageMargins left="0.7" right="0.7" top="0.75" bottom="0.75" header="0.3" footer="0.3"/>
  <pageSetup paperSize="9"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D9EFB-1FF2-4D01-993A-216302BC992F}">
  <sheetPr codeName="Sheet32">
    <tabColor theme="9"/>
  </sheetPr>
  <dimension ref="A1:H19"/>
  <sheetViews>
    <sheetView showGridLines="0" zoomScale="85" zoomScaleNormal="85" workbookViewId="0">
      <selection activeCell="A4" sqref="A4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8" width="18.625" style="3" customWidth="1"/>
    <col min="9" max="16384" width="9" style="1"/>
  </cols>
  <sheetData>
    <row r="1" spans="1:8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61</v>
      </c>
      <c r="F1" s="6" t="s">
        <v>59</v>
      </c>
      <c r="G1" s="6" t="s">
        <v>125</v>
      </c>
      <c r="H1" s="6" t="s">
        <v>63</v>
      </c>
    </row>
    <row r="2" spans="1:8" ht="20.100000000000001" customHeight="1" x14ac:dyDescent="0.4">
      <c r="A2" s="2" t="s">
        <v>247</v>
      </c>
      <c r="B2" s="2" t="s">
        <v>158</v>
      </c>
      <c r="C2" s="26" t="s">
        <v>324</v>
      </c>
      <c r="D2" s="3" t="s">
        <v>325</v>
      </c>
      <c r="E2" s="3" t="s">
        <v>326</v>
      </c>
      <c r="F2" s="3">
        <v>5935511</v>
      </c>
      <c r="G2" s="28" t="s">
        <v>298</v>
      </c>
      <c r="H2" s="3" t="s">
        <v>327</v>
      </c>
    </row>
    <row r="3" spans="1:8" ht="20.100000000000001" customHeight="1" x14ac:dyDescent="0.4">
      <c r="C3" s="26"/>
      <c r="G3" s="28"/>
    </row>
    <row r="4" spans="1:8" ht="20.100000000000001" customHeight="1" x14ac:dyDescent="0.4">
      <c r="C4" s="26"/>
      <c r="G4" s="28"/>
    </row>
    <row r="5" spans="1:8" ht="20.100000000000001" customHeight="1" x14ac:dyDescent="0.4">
      <c r="C5" s="26"/>
      <c r="G5" s="28"/>
    </row>
    <row r="6" spans="1:8" ht="20.100000000000001" customHeight="1" x14ac:dyDescent="0.4">
      <c r="C6" s="26"/>
      <c r="G6" s="28"/>
    </row>
    <row r="7" spans="1:8" ht="20.100000000000001" customHeight="1" x14ac:dyDescent="0.4">
      <c r="C7" s="26"/>
      <c r="G7" s="28"/>
    </row>
    <row r="8" spans="1:8" ht="20.100000000000001" customHeight="1" x14ac:dyDescent="0.4">
      <c r="C8" s="26"/>
      <c r="G8" s="28"/>
    </row>
    <row r="9" spans="1:8" ht="20.100000000000001" customHeight="1" x14ac:dyDescent="0.4">
      <c r="C9" s="26"/>
      <c r="G9" s="28"/>
    </row>
    <row r="10" spans="1:8" ht="20.100000000000001" customHeight="1" x14ac:dyDescent="0.4">
      <c r="C10" s="26"/>
      <c r="G10" s="28"/>
    </row>
    <row r="11" spans="1:8" ht="20.100000000000001" customHeight="1" x14ac:dyDescent="0.4">
      <c r="C11" s="26"/>
      <c r="G11" s="28"/>
    </row>
    <row r="12" spans="1:8" ht="20.100000000000001" customHeight="1" x14ac:dyDescent="0.4">
      <c r="C12" s="26"/>
      <c r="G12" s="28"/>
    </row>
    <row r="13" spans="1:8" ht="20.100000000000001" customHeight="1" x14ac:dyDescent="0.4">
      <c r="C13" s="26"/>
      <c r="G13" s="28"/>
    </row>
    <row r="14" spans="1:8" ht="20.100000000000001" customHeight="1" x14ac:dyDescent="0.4">
      <c r="C14" s="26"/>
      <c r="G14" s="28"/>
    </row>
    <row r="15" spans="1:8" ht="20.100000000000001" customHeight="1" x14ac:dyDescent="0.4">
      <c r="C15" s="26"/>
      <c r="G15" s="28"/>
    </row>
    <row r="16" spans="1:8" ht="20.100000000000001" customHeight="1" x14ac:dyDescent="0.4">
      <c r="C16" s="26"/>
      <c r="G16" s="28"/>
    </row>
    <row r="17" spans="3:7" ht="20.100000000000001" customHeight="1" x14ac:dyDescent="0.4">
      <c r="C17" s="26"/>
      <c r="G17" s="28"/>
    </row>
    <row r="18" spans="3:7" ht="20.100000000000001" customHeight="1" x14ac:dyDescent="0.4">
      <c r="C18" s="26"/>
      <c r="G18" s="28"/>
    </row>
    <row r="19" spans="3:7" ht="20.100000000000001" customHeight="1" x14ac:dyDescent="0.4">
      <c r="C19" s="26"/>
      <c r="G19" s="28"/>
    </row>
  </sheetData>
  <phoneticPr fontId="1"/>
  <dataValidations count="3">
    <dataValidation type="list" allowBlank="1" showInputMessage="1" showErrorMessage="1" sqref="H2:H1048576" xr:uid="{D408FDCC-62F8-4582-9F17-4BFD397DB660}">
      <formula1>"&amp;creative&amp;media,&amp;creative&amp;media=false,&amp;creative=false&amp;media=false,&amp;creative=false&amp;media"</formula1>
    </dataValidation>
    <dataValidation type="list" allowBlank="1" showInputMessage="1" showErrorMessage="1" sqref="A2:A1048576" xr:uid="{4337EBE2-FE80-4F7B-A4A5-99167A7B42B0}">
      <formula1>"ON"</formula1>
    </dataValidation>
    <dataValidation type="list" allowBlank="1" showInputMessage="1" showErrorMessage="1" sqref="G2:G1048576" xr:uid="{35EC0321-4AFA-405B-94DB-C81A8D3CC3D4}">
      <formula1>"'+0900"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9B564-0D2E-416E-82C2-8E1FF5084A38}">
  <sheetPr codeName="Sheet12">
    <tabColor theme="9"/>
  </sheetPr>
  <dimension ref="A1:F2"/>
  <sheetViews>
    <sheetView showGridLines="0" zoomScale="85" zoomScaleNormal="85" workbookViewId="0">
      <selection activeCell="A4" sqref="A4"/>
    </sheetView>
  </sheetViews>
  <sheetFormatPr defaultColWidth="9" defaultRowHeight="20.100000000000001" customHeight="1" x14ac:dyDescent="0.4"/>
  <cols>
    <col min="1" max="6" width="18.625" style="2" customWidth="1"/>
    <col min="7" max="7" width="18.625" style="1" customWidth="1"/>
    <col min="8" max="16384" width="9" style="1"/>
  </cols>
  <sheetData>
    <row r="1" spans="1:6" ht="20.100000000000001" customHeight="1" x14ac:dyDescent="0.4">
      <c r="A1" s="4" t="s">
        <v>4</v>
      </c>
      <c r="B1" s="4" t="s">
        <v>0</v>
      </c>
      <c r="C1" s="4" t="s">
        <v>115</v>
      </c>
      <c r="D1" s="6" t="s">
        <v>244</v>
      </c>
      <c r="E1" s="6" t="s">
        <v>127</v>
      </c>
      <c r="F1" s="4" t="s">
        <v>2</v>
      </c>
    </row>
    <row r="2" spans="1:6" ht="20.100000000000001" customHeight="1" x14ac:dyDescent="0.4">
      <c r="A2" s="2" t="s">
        <v>247</v>
      </c>
      <c r="B2" s="2" t="s">
        <v>358</v>
      </c>
      <c r="C2" s="25" t="s">
        <v>324</v>
      </c>
      <c r="D2" s="2">
        <v>3</v>
      </c>
      <c r="E2" s="2" t="s">
        <v>265</v>
      </c>
    </row>
  </sheetData>
  <phoneticPr fontId="1"/>
  <dataValidations count="1">
    <dataValidation type="list" allowBlank="1" showInputMessage="1" showErrorMessage="1" sqref="A2:B1048576" xr:uid="{1E547F72-DA93-43BE-8323-347D36C91505}">
      <formula1>"ON"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13360-70AF-40C2-9934-6055E3AC2E28}">
  <sheetPr codeName="Sheet16"/>
  <dimension ref="A1:G2"/>
  <sheetViews>
    <sheetView showGridLines="0" zoomScale="85" zoomScaleNormal="85" workbookViewId="0">
      <selection activeCell="A4" sqref="A4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7" width="18.625" style="2" customWidth="1"/>
    <col min="8" max="16384" width="9" style="1"/>
  </cols>
  <sheetData>
    <row r="1" spans="1:7" ht="20.100000000000001" customHeight="1" x14ac:dyDescent="0.4">
      <c r="A1" s="4" t="s">
        <v>4</v>
      </c>
      <c r="B1" s="4" t="s">
        <v>0</v>
      </c>
      <c r="C1" s="4" t="s">
        <v>115</v>
      </c>
      <c r="D1" s="22" t="s">
        <v>120</v>
      </c>
      <c r="E1" s="22" t="s">
        <v>121</v>
      </c>
      <c r="F1" s="22" t="s">
        <v>122</v>
      </c>
      <c r="G1" s="22" t="s">
        <v>123</v>
      </c>
    </row>
    <row r="2" spans="1:7" ht="20.100000000000001" customHeight="1" x14ac:dyDescent="0.4">
      <c r="A2" s="2" t="s">
        <v>294</v>
      </c>
      <c r="B2" s="2" t="s">
        <v>415</v>
      </c>
      <c r="C2" s="26" t="s">
        <v>324</v>
      </c>
      <c r="D2" s="2" t="s">
        <v>448</v>
      </c>
      <c r="E2" s="2" t="s">
        <v>449</v>
      </c>
      <c r="F2" s="2">
        <v>3</v>
      </c>
      <c r="G2" s="2" t="s">
        <v>450</v>
      </c>
    </row>
  </sheetData>
  <phoneticPr fontId="1"/>
  <dataValidations count="3">
    <dataValidation type="list" allowBlank="1" showInputMessage="1" sqref="G2:G1048576" xr:uid="{B56E8352-4517-4B7B-BD71-0ED91A90C010}">
      <formula1>"TodayFolder"</formula1>
    </dataValidation>
    <dataValidation type="list" allowBlank="1" showInputMessage="1" showErrorMessage="1" sqref="D2:D1048576" xr:uid="{A989B98A-9995-4516-87E1-021B23C21B4E}">
      <formula1>"Accruiser,ADEbis,Adjust,ADMage,ADPLAN,AppsFlyer,FOX,GA,SiteCatalyst,WA"</formula1>
    </dataValidation>
    <dataValidation type="list" allowBlank="1" showInputMessage="1" showErrorMessage="1" sqref="A2:A1048576" xr:uid="{21FC60C6-C0C4-4E9E-A4C3-7D2DFFDD9D31}">
      <formula1>"ON"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BC2D7-2801-41EF-8CBE-9116EF01ABD4}">
  <sheetPr codeName="Sheet36">
    <tabColor theme="9"/>
  </sheetPr>
  <dimension ref="A1:G3"/>
  <sheetViews>
    <sheetView showGridLines="0" zoomScale="85" zoomScaleNormal="85" workbookViewId="0">
      <selection activeCell="A4" sqref="A4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7" width="18.625" style="3" customWidth="1"/>
    <col min="8" max="16384" width="9" style="1"/>
  </cols>
  <sheetData>
    <row r="1" spans="1:7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61</v>
      </c>
      <c r="F1" s="6" t="s">
        <v>59</v>
      </c>
      <c r="G1" s="6" t="s">
        <v>124</v>
      </c>
    </row>
    <row r="2" spans="1:7" ht="20.100000000000001" customHeight="1" x14ac:dyDescent="0.4">
      <c r="A2" s="2" t="s">
        <v>294</v>
      </c>
      <c r="B2" s="2" t="s">
        <v>142</v>
      </c>
      <c r="C2" s="26" t="s">
        <v>324</v>
      </c>
      <c r="D2" s="3" t="s">
        <v>297</v>
      </c>
      <c r="F2" s="3">
        <v>831553</v>
      </c>
      <c r="G2" s="3" t="s">
        <v>295</v>
      </c>
    </row>
    <row r="3" spans="1:7" ht="20.100000000000001" customHeight="1" x14ac:dyDescent="0.4">
      <c r="A3" s="2" t="s">
        <v>294</v>
      </c>
      <c r="B3" s="2" t="s">
        <v>156</v>
      </c>
      <c r="C3" s="26" t="s">
        <v>324</v>
      </c>
      <c r="D3" s="3" t="s">
        <v>297</v>
      </c>
      <c r="F3" s="3" t="s">
        <v>308</v>
      </c>
      <c r="G3" s="3" t="s">
        <v>301</v>
      </c>
    </row>
  </sheetData>
  <phoneticPr fontId="1"/>
  <dataValidations count="2">
    <dataValidation type="list" allowBlank="1" showInputMessage="1" showErrorMessage="1" sqref="A2:A1048576" xr:uid="{2E5B1FB2-D7A9-4145-ABD2-42491BBC25C1}">
      <formula1>"ON"</formula1>
    </dataValidation>
    <dataValidation type="list" allowBlank="1" showInputMessage="1" showErrorMessage="1" sqref="G2:G1048576" xr:uid="{DF84D61B-89B7-43B5-B9FC-77D0D68EA2D0}">
      <formula1>"get_campaigns,get_total,get_campaigns&amp;total,get_campaigns_new"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BD8F3-73B8-4AC8-A2ED-D9947F72C900}">
  <sheetPr>
    <tabColor theme="9"/>
  </sheetPr>
  <dimension ref="A1:G2"/>
  <sheetViews>
    <sheetView showGridLines="0" zoomScale="85" zoomScaleNormal="85" workbookViewId="0">
      <selection activeCell="A4" sqref="A4"/>
    </sheetView>
  </sheetViews>
  <sheetFormatPr defaultColWidth="9" defaultRowHeight="20.100000000000001" customHeight="1" x14ac:dyDescent="0.4"/>
  <cols>
    <col min="1" max="1" width="18.625" style="2" customWidth="1"/>
    <col min="2" max="2" width="18.625" style="21" customWidth="1"/>
    <col min="3" max="7" width="18.625" style="3" customWidth="1"/>
    <col min="8" max="16384" width="9" style="1"/>
  </cols>
  <sheetData>
    <row r="1" spans="1:7" ht="20.100000000000001" customHeight="1" x14ac:dyDescent="0.4">
      <c r="A1" s="4" t="s">
        <v>4</v>
      </c>
      <c r="B1" s="4" t="s">
        <v>0</v>
      </c>
      <c r="C1" s="6" t="s">
        <v>60</v>
      </c>
      <c r="D1" s="6" t="s">
        <v>61</v>
      </c>
      <c r="E1" s="6" t="s">
        <v>59</v>
      </c>
      <c r="F1" s="6" t="s">
        <v>124</v>
      </c>
      <c r="G1" s="6" t="s">
        <v>125</v>
      </c>
    </row>
    <row r="2" spans="1:7" ht="20.100000000000001" customHeight="1" x14ac:dyDescent="0.4">
      <c r="B2" s="21" t="s">
        <v>299</v>
      </c>
      <c r="C2" s="28" t="s">
        <v>318</v>
      </c>
      <c r="D2" s="28" t="s">
        <v>482</v>
      </c>
      <c r="E2" s="43" t="s">
        <v>452</v>
      </c>
      <c r="F2" s="28" t="s">
        <v>295</v>
      </c>
      <c r="G2" s="28" t="s">
        <v>298</v>
      </c>
    </row>
  </sheetData>
  <phoneticPr fontId="1"/>
  <dataValidations count="3">
    <dataValidation type="list" allowBlank="1" showInputMessage="1" showErrorMessage="1" sqref="G2:G1048576" xr:uid="{0CD3BCA5-D561-4082-ACF6-D2ACEA2950FC}">
      <formula1>"'+0900"</formula1>
    </dataValidation>
    <dataValidation type="list" allowBlank="1" showInputMessage="1" showErrorMessage="1" sqref="F2:F1048576" xr:uid="{05D73ADA-4B14-4E8D-AB78-71173323CD97}">
      <formula1>"get_campaigns,get_total,get_campaigns&amp;total"</formula1>
    </dataValidation>
    <dataValidation type="list" allowBlank="1" showInputMessage="1" showErrorMessage="1" sqref="A2:A1048576" xr:uid="{97B8E9AF-AF95-43FE-8F94-F6E855E74CA1}">
      <formula1>"ON"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BDD43-4B60-4971-93FA-0278793F07C5}">
  <dimension ref="A1:H4"/>
  <sheetViews>
    <sheetView showGridLines="0" zoomScale="70" zoomScaleNormal="70" workbookViewId="0">
      <selection activeCell="A4" sqref="A4"/>
    </sheetView>
  </sheetViews>
  <sheetFormatPr defaultColWidth="9" defaultRowHeight="20.100000000000001" customHeight="1" x14ac:dyDescent="0.4"/>
  <cols>
    <col min="1" max="8" width="20.625" style="2" customWidth="1"/>
    <col min="9" max="16384" width="9" style="1"/>
  </cols>
  <sheetData>
    <row r="1" spans="1:8" ht="20.100000000000001" customHeight="1" x14ac:dyDescent="0.4">
      <c r="A1" s="4" t="s">
        <v>4</v>
      </c>
      <c r="B1" s="4" t="s">
        <v>0</v>
      </c>
      <c r="C1" s="6" t="s">
        <v>335</v>
      </c>
      <c r="D1" s="6" t="s">
        <v>398</v>
      </c>
      <c r="E1" s="6" t="s">
        <v>399</v>
      </c>
      <c r="F1" s="6" t="s">
        <v>400</v>
      </c>
      <c r="G1" s="6" t="s">
        <v>401</v>
      </c>
      <c r="H1" s="4" t="s">
        <v>402</v>
      </c>
    </row>
    <row r="2" spans="1:8" ht="20.100000000000001" customHeight="1" x14ac:dyDescent="0.4">
      <c r="A2" s="38" t="s">
        <v>344</v>
      </c>
      <c r="B2" s="38" t="s">
        <v>345</v>
      </c>
      <c r="C2" s="38" t="s">
        <v>345</v>
      </c>
      <c r="D2" s="38"/>
      <c r="E2" s="38" t="s">
        <v>345</v>
      </c>
      <c r="F2" s="38"/>
      <c r="G2" s="38"/>
      <c r="H2" s="38" t="s">
        <v>345</v>
      </c>
    </row>
    <row r="3" spans="1:8" ht="20.100000000000001" customHeight="1" x14ac:dyDescent="0.4">
      <c r="B3" s="2" t="s">
        <v>403</v>
      </c>
      <c r="C3" s="2" t="s">
        <v>404</v>
      </c>
      <c r="E3" s="2" t="s">
        <v>405</v>
      </c>
      <c r="G3" s="2" t="s">
        <v>406</v>
      </c>
      <c r="H3" s="2" t="s">
        <v>407</v>
      </c>
    </row>
    <row r="4" spans="1:8" ht="20.100000000000001" customHeight="1" x14ac:dyDescent="0.4">
      <c r="B4" s="2" t="s">
        <v>408</v>
      </c>
      <c r="C4" s="2" t="s">
        <v>411</v>
      </c>
      <c r="D4" s="2">
        <v>9191</v>
      </c>
      <c r="E4" s="2" t="s">
        <v>409</v>
      </c>
      <c r="G4" s="2" t="s">
        <v>406</v>
      </c>
      <c r="H4" s="2" t="s">
        <v>410</v>
      </c>
    </row>
  </sheetData>
  <phoneticPr fontId="1"/>
  <dataValidations count="2">
    <dataValidation type="list" allowBlank="1" showInputMessage="1" showErrorMessage="1" sqref="G3:G1048576 H3 H5:H1048576" xr:uid="{493A6A6E-23DA-4E7B-B250-CA4B6A5EFAF7}">
      <formula1>"円置換,なし"</formula1>
    </dataValidation>
    <dataValidation type="list" allowBlank="1" showInputMessage="1" showErrorMessage="1" sqref="A3:A1048576" xr:uid="{45D32BF3-046E-474B-89C9-A104274ECF7C}">
      <formula1>"ON"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20B38-4C9F-4B27-A8B3-279F33D33C3A}">
  <dimension ref="A1:N5"/>
  <sheetViews>
    <sheetView showGridLines="0" zoomScale="85" zoomScaleNormal="85" workbookViewId="0">
      <selection activeCell="A4" sqref="A4"/>
    </sheetView>
  </sheetViews>
  <sheetFormatPr defaultColWidth="9" defaultRowHeight="20.100000000000001" customHeight="1" x14ac:dyDescent="0.4"/>
  <cols>
    <col min="1" max="1" width="20.625" style="2" customWidth="1"/>
    <col min="2" max="6" width="15.625" style="2" customWidth="1"/>
    <col min="7" max="7" width="15.625" style="42" customWidth="1"/>
    <col min="8" max="8" width="15.625" style="2" customWidth="1"/>
    <col min="9" max="9" width="15.625" style="42" customWidth="1"/>
    <col min="10" max="10" width="15.625" style="2" customWidth="1"/>
    <col min="11" max="11" width="24.375" style="2" customWidth="1"/>
    <col min="12" max="12" width="15.625" style="2" customWidth="1"/>
    <col min="13" max="13" width="60.875" style="2" customWidth="1"/>
    <col min="14" max="14" width="20.625" style="2" customWidth="1"/>
    <col min="15" max="16384" width="9" style="1"/>
  </cols>
  <sheetData>
    <row r="1" spans="1:14" ht="20.100000000000001" customHeight="1" x14ac:dyDescent="0.4">
      <c r="A1" s="4" t="s">
        <v>4</v>
      </c>
      <c r="B1" s="4" t="s">
        <v>0</v>
      </c>
      <c r="C1" s="4" t="s">
        <v>2</v>
      </c>
      <c r="D1" s="6" t="s">
        <v>335</v>
      </c>
      <c r="E1" s="6" t="s">
        <v>62</v>
      </c>
      <c r="F1" s="6" t="s">
        <v>336</v>
      </c>
      <c r="G1" s="37" t="s">
        <v>337</v>
      </c>
      <c r="H1" s="6" t="s">
        <v>338</v>
      </c>
      <c r="I1" s="37" t="s">
        <v>339</v>
      </c>
      <c r="J1" s="6" t="s">
        <v>340</v>
      </c>
      <c r="K1" s="6" t="s">
        <v>63</v>
      </c>
      <c r="L1" s="6" t="s">
        <v>341</v>
      </c>
      <c r="M1" s="6" t="s">
        <v>342</v>
      </c>
      <c r="N1" s="4" t="s">
        <v>343</v>
      </c>
    </row>
    <row r="2" spans="1:14" ht="20.100000000000001" customHeight="1" x14ac:dyDescent="0.4">
      <c r="A2" s="38" t="s">
        <v>344</v>
      </c>
      <c r="B2" s="38" t="s">
        <v>345</v>
      </c>
      <c r="C2" s="38"/>
      <c r="D2" s="38" t="s">
        <v>346</v>
      </c>
      <c r="E2" s="38" t="s">
        <v>346</v>
      </c>
      <c r="F2" s="38" t="s">
        <v>347</v>
      </c>
      <c r="G2" s="39"/>
      <c r="H2" s="38" t="s">
        <v>346</v>
      </c>
      <c r="I2" s="39" t="s">
        <v>347</v>
      </c>
      <c r="J2" s="38" t="s">
        <v>347</v>
      </c>
      <c r="K2" s="38"/>
      <c r="L2" s="38"/>
      <c r="M2" s="38"/>
      <c r="N2" s="38"/>
    </row>
    <row r="3" spans="1:14" ht="20.100000000000001" customHeight="1" x14ac:dyDescent="0.4">
      <c r="B3" s="2" t="s">
        <v>348</v>
      </c>
      <c r="C3" s="2">
        <v>600</v>
      </c>
      <c r="D3" s="2">
        <v>1561</v>
      </c>
      <c r="E3" s="2">
        <v>29126</v>
      </c>
      <c r="F3" s="2" t="s">
        <v>349</v>
      </c>
      <c r="G3" s="40"/>
      <c r="H3" s="41"/>
      <c r="I3" s="40"/>
      <c r="J3" s="41"/>
      <c r="K3" s="41"/>
      <c r="L3" s="41"/>
      <c r="M3" s="41"/>
      <c r="N3" s="2" t="s">
        <v>350</v>
      </c>
    </row>
    <row r="4" spans="1:14" ht="20.100000000000001" customHeight="1" x14ac:dyDescent="0.4">
      <c r="B4" s="2" t="s">
        <v>348</v>
      </c>
      <c r="C4" s="2">
        <v>600</v>
      </c>
      <c r="D4" s="2">
        <v>5608</v>
      </c>
      <c r="E4" s="22">
        <v>32509</v>
      </c>
      <c r="F4" s="2" t="s">
        <v>359</v>
      </c>
      <c r="G4" s="42" t="s">
        <v>351</v>
      </c>
      <c r="H4" s="2" t="s">
        <v>352</v>
      </c>
      <c r="I4" s="25" t="s">
        <v>353</v>
      </c>
      <c r="J4" s="2" t="s">
        <v>354</v>
      </c>
      <c r="K4" s="2" t="s">
        <v>355</v>
      </c>
      <c r="L4" s="2" t="s">
        <v>356</v>
      </c>
      <c r="M4" s="2" t="s">
        <v>357</v>
      </c>
    </row>
    <row r="5" spans="1:14" ht="20.100000000000001" customHeight="1" x14ac:dyDescent="0.4">
      <c r="B5" s="2" t="s">
        <v>348</v>
      </c>
      <c r="C5" s="2">
        <v>600</v>
      </c>
      <c r="D5" s="2">
        <v>5608</v>
      </c>
      <c r="E5" s="2">
        <v>32507</v>
      </c>
      <c r="F5" s="2" t="s">
        <v>358</v>
      </c>
    </row>
  </sheetData>
  <phoneticPr fontId="1"/>
  <conditionalFormatting sqref="G4:M1048576">
    <cfRule type="expression" dxfId="1" priority="1">
      <formula>AND($E4&lt;&gt;"manual",$E4&lt;&gt;"")</formula>
    </cfRule>
  </conditionalFormatting>
  <dataValidations count="8">
    <dataValidation type="list" allowBlank="1" showInputMessage="1" showErrorMessage="1" sqref="K4" xr:uid="{48B1C9AB-E0E2-444C-8A80-04BA9D3558E9}">
      <formula1>"component | campaign,component | ad_group,component | keyword,component | ad,query | keyword,query | ad_group"</formula1>
    </dataValidation>
    <dataValidation type="list" allowBlank="1" showInputMessage="1" sqref="I4:I1048576" xr:uid="{2C43C49B-A5F4-4281-B7C2-52B4233D7BD5}">
      <formula1>"xx,個別媒体費"</formula1>
    </dataValidation>
    <dataValidation type="list" allowBlank="1" showInputMessage="1" showErrorMessage="1" sqref="L3:L1048576" xr:uid="{0811CC73-BD89-4062-B589-2B52684A5835}">
      <formula1>"default,all,all_value,all_structure"</formula1>
    </dataValidation>
    <dataValidation type="list" allowBlank="1" showInputMessage="1" showErrorMessage="1" sqref="K3 K5:K1048576" xr:uid="{9E6F9610-1F93-4E9A-BAD5-2FF9A98C07B8}">
      <formula1>"component | campaign,component | ad_group,component | keyword,component | ad,query | keyword,query | adgroup"</formula1>
    </dataValidation>
    <dataValidation type="list" allowBlank="1" showInputMessage="1" showErrorMessage="1" sqref="J3:J1048576" xr:uid="{0411D203-C194-49EB-9BDA-B0CADEBB0DE7}">
      <formula1>"なし,PC / TAB / SP / TV,PC+TAB / SP / TV,PC / TAB+SP / TV"</formula1>
    </dataValidation>
    <dataValidation type="list" allowBlank="1" showInputMessage="1" showErrorMessage="1" sqref="H3:H1048576" xr:uid="{51B2A0FD-55EB-4803-849A-FB878DB65771}">
      <formula1>"daily,summary"</formula1>
    </dataValidation>
    <dataValidation type="list" allowBlank="1" showInputMessage="1" showErrorMessage="1" sqref="A3:A1048576" xr:uid="{0681CD3E-688B-4D6C-AE14-6AAA7CD77B75}">
      <formula1>"ON"</formula1>
    </dataValidation>
    <dataValidation type="list" allowBlank="1" showInputMessage="1" sqref="I3" xr:uid="{40F618CE-3E64-4BE2-ADBE-6DDE6D9EAC55}">
      <formula1>"xx%,個別媒体費"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3E3C0-C746-4518-BA91-2FD41378CF8A}">
  <sheetPr codeName="Sheet29">
    <tabColor theme="9"/>
  </sheetPr>
  <dimension ref="A1:M13"/>
  <sheetViews>
    <sheetView showGridLines="0" tabSelected="1" zoomScale="85" zoomScaleNormal="85" workbookViewId="0">
      <selection activeCell="E3" sqref="A3:XFD3"/>
    </sheetView>
  </sheetViews>
  <sheetFormatPr defaultColWidth="9" defaultRowHeight="20.100000000000001" customHeight="1" x14ac:dyDescent="0.4"/>
  <cols>
    <col min="1" max="6" width="18.625" style="3" customWidth="1"/>
    <col min="7" max="7" width="65.25" style="3" customWidth="1"/>
    <col min="8" max="9" width="13.75" style="3" bestFit="1" customWidth="1"/>
    <col min="10" max="10" width="17.75" style="3" bestFit="1" customWidth="1"/>
    <col min="11" max="11" width="14.25" style="3" bestFit="1" customWidth="1"/>
    <col min="12" max="12" width="21.75" style="3" bestFit="1" customWidth="1"/>
    <col min="13" max="13" width="17.375" style="3" bestFit="1" customWidth="1"/>
    <col min="14" max="16384" width="9" style="1"/>
  </cols>
  <sheetData>
    <row r="1" spans="1:13" ht="20.100000000000001" customHeight="1" x14ac:dyDescent="0.4">
      <c r="A1" s="4" t="s">
        <v>4</v>
      </c>
      <c r="B1" s="17" t="s">
        <v>513</v>
      </c>
      <c r="C1" s="17" t="s">
        <v>515</v>
      </c>
      <c r="D1" s="16" t="s">
        <v>514</v>
      </c>
      <c r="E1" s="16" t="s">
        <v>59</v>
      </c>
      <c r="F1" s="16" t="s">
        <v>67</v>
      </c>
      <c r="G1" s="54" t="s">
        <v>523</v>
      </c>
      <c r="H1" s="51" t="s">
        <v>518</v>
      </c>
      <c r="I1" s="51" t="s">
        <v>518</v>
      </c>
      <c r="J1" s="52" t="s">
        <v>519</v>
      </c>
      <c r="K1" s="52" t="s">
        <v>520</v>
      </c>
      <c r="L1" s="50" t="s">
        <v>516</v>
      </c>
      <c r="M1" s="50" t="s">
        <v>517</v>
      </c>
    </row>
    <row r="2" spans="1:13" ht="56.25" x14ac:dyDescent="0.4">
      <c r="A2" s="3" t="s">
        <v>247</v>
      </c>
      <c r="C2" s="53">
        <v>44709</v>
      </c>
      <c r="D2" s="3" t="s">
        <v>522</v>
      </c>
      <c r="E2" s="3" t="s">
        <v>521</v>
      </c>
      <c r="F2" s="3">
        <v>237082721</v>
      </c>
      <c r="G2" s="55" t="s">
        <v>524</v>
      </c>
    </row>
    <row r="3" spans="1:13" ht="20.100000000000001" customHeight="1" x14ac:dyDescent="0.4">
      <c r="C3" s="53"/>
      <c r="G3" s="55"/>
    </row>
    <row r="4" spans="1:13" ht="20.100000000000001" customHeight="1" x14ac:dyDescent="0.4">
      <c r="C4" s="53"/>
      <c r="G4" s="55"/>
    </row>
    <row r="5" spans="1:13" ht="20.100000000000001" customHeight="1" x14ac:dyDescent="0.4">
      <c r="C5" s="53"/>
      <c r="G5" s="55"/>
    </row>
    <row r="6" spans="1:13" ht="20.100000000000001" customHeight="1" x14ac:dyDescent="0.4">
      <c r="C6" s="53"/>
      <c r="G6" s="55"/>
    </row>
    <row r="7" spans="1:13" ht="20.100000000000001" customHeight="1" x14ac:dyDescent="0.4">
      <c r="C7" s="53"/>
      <c r="G7" s="55"/>
    </row>
    <row r="8" spans="1:13" ht="20.100000000000001" customHeight="1" x14ac:dyDescent="0.4">
      <c r="C8" s="53"/>
      <c r="G8" s="55"/>
    </row>
    <row r="9" spans="1:13" ht="20.100000000000001" customHeight="1" x14ac:dyDescent="0.4">
      <c r="C9" s="53"/>
      <c r="G9" s="55"/>
    </row>
    <row r="10" spans="1:13" ht="20.100000000000001" customHeight="1" x14ac:dyDescent="0.4">
      <c r="C10" s="53"/>
      <c r="G10" s="55"/>
    </row>
    <row r="11" spans="1:13" ht="20.100000000000001" customHeight="1" x14ac:dyDescent="0.4">
      <c r="C11" s="53"/>
      <c r="G11" s="55"/>
    </row>
    <row r="12" spans="1:13" ht="20.100000000000001" customHeight="1" x14ac:dyDescent="0.4">
      <c r="C12" s="53"/>
      <c r="G12" s="55"/>
    </row>
    <row r="13" spans="1:13" ht="20.100000000000001" customHeight="1" x14ac:dyDescent="0.4">
      <c r="C13" s="53"/>
      <c r="G13" s="55"/>
    </row>
  </sheetData>
  <phoneticPr fontId="1"/>
  <dataValidations count="1">
    <dataValidation allowBlank="1" showInputMessage="1" sqref="B2:D1048576" xr:uid="{8AF9A851-A82D-4C9D-9B5E-A19E08B3B811}"/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DB68-2252-404E-B1D9-3ADA7269F4F0}">
  <sheetPr codeName="Sheet30">
    <tabColor theme="9"/>
  </sheetPr>
  <dimension ref="A1:N2"/>
  <sheetViews>
    <sheetView showGridLines="0" zoomScale="85" zoomScaleNormal="85" workbookViewId="0">
      <selection activeCell="A2" sqref="A2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7" width="18.625" style="3" customWidth="1"/>
    <col min="8" max="8" width="19" style="3" bestFit="1" customWidth="1"/>
    <col min="9" max="13" width="19.375" style="3" customWidth="1"/>
    <col min="14" max="14" width="20.625" style="3" customWidth="1"/>
    <col min="15" max="16384" width="9" style="1"/>
  </cols>
  <sheetData>
    <row r="1" spans="1:14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61</v>
      </c>
      <c r="F1" s="6" t="s">
        <v>59</v>
      </c>
      <c r="G1" s="6" t="s">
        <v>124</v>
      </c>
      <c r="H1" s="6" t="s">
        <v>68</v>
      </c>
      <c r="I1" s="5" t="s">
        <v>109</v>
      </c>
      <c r="J1" s="5" t="s">
        <v>110</v>
      </c>
      <c r="K1" s="5" t="s">
        <v>111</v>
      </c>
      <c r="L1" s="5" t="s">
        <v>112</v>
      </c>
      <c r="M1" s="5" t="s">
        <v>113</v>
      </c>
      <c r="N1" s="15" t="s">
        <v>2</v>
      </c>
    </row>
    <row r="2" spans="1:14" ht="20.100000000000001" customHeight="1" x14ac:dyDescent="0.4">
      <c r="A2" s="2" t="s">
        <v>247</v>
      </c>
      <c r="B2" s="2" t="s">
        <v>147</v>
      </c>
      <c r="C2" s="26" t="s">
        <v>323</v>
      </c>
      <c r="D2" s="3" t="s">
        <v>328</v>
      </c>
      <c r="E2" s="3">
        <v>86796398369</v>
      </c>
      <c r="F2" s="3" t="s">
        <v>314</v>
      </c>
      <c r="G2" s="3" t="s">
        <v>329</v>
      </c>
      <c r="I2" s="3" t="s">
        <v>177</v>
      </c>
      <c r="J2" s="3" t="s">
        <v>330</v>
      </c>
      <c r="K2" s="3" t="s">
        <v>331</v>
      </c>
      <c r="L2" s="3" t="s">
        <v>331</v>
      </c>
      <c r="M2" s="3" t="s">
        <v>332</v>
      </c>
    </row>
  </sheetData>
  <phoneticPr fontId="1"/>
  <dataValidations count="8">
    <dataValidation type="list" allowBlank="1" showInputMessage="1" showErrorMessage="1" sqref="M2:M1048576" xr:uid="{E1DD67D3-0C15-49AD-94B9-97FE6253970A}">
      <formula1>"含める,含めない"</formula1>
    </dataValidation>
    <dataValidation type="list" allowBlank="1" showInputMessage="1" showErrorMessage="1" sqref="L2:L1048576" xr:uid="{783AA662-49C3-4A3D-AA40-2221DA2645E5}">
      <formula1>"全体,配信先別"</formula1>
    </dataValidation>
    <dataValidation type="list" allowBlank="1" showInputMessage="1" showErrorMessage="1" sqref="K2:K1048576" xr:uid="{CCB61382-497A-426B-86F9-736273E617A6}">
      <formula1>"全体,OS,地域,性別,年齢,趣味・関心,行動,属性"</formula1>
    </dataValidation>
    <dataValidation type="list" allowBlank="1" showInputMessage="1" showErrorMessage="1" sqref="J2:J1048576" xr:uid="{E75946F4-539A-4C26-8FE6-1F1ED36F8957}">
      <formula1>"全体,日別"</formula1>
    </dataValidation>
    <dataValidation type="list" allowBlank="1" showInputMessage="1" showErrorMessage="1" sqref="I2:I1048576" xr:uid="{64138968-1335-4090-B208-35288244A1EA}">
      <formula1>"広告アカウント,キャンペーン,広告グループ,広告"</formula1>
    </dataValidation>
    <dataValidation type="list" allowBlank="1" showInputMessage="1" showErrorMessage="1" sqref="A2:A1048576" xr:uid="{50547F05-1AC4-4EC5-BCAA-712E3A6DA633}">
      <formula1>"ON"</formula1>
    </dataValidation>
    <dataValidation allowBlank="1" showInputMessage="1" sqref="N2:N1048576" xr:uid="{2E31F088-28FE-466A-9912-DF05BD461C28}"/>
    <dataValidation type="list" allowBlank="1" showInputMessage="1" showErrorMessage="1" sqref="G2:G1048576" xr:uid="{52D7E0E3-229F-4088-B6AF-9A0AF8885013}">
      <formula1>"get_campaigns,get_campaigns&amp;total,get_total,dl_summary_report,dl_daily_report"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579F6-7E23-49CF-8CC0-CCEF63D595BE}">
  <sheetPr codeName="Sheet34"/>
  <dimension ref="A1:M2"/>
  <sheetViews>
    <sheetView showGridLines="0" zoomScale="85" zoomScaleNormal="85" workbookViewId="0">
      <selection activeCell="A2" sqref="A2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7" width="18.625" style="3" customWidth="1"/>
    <col min="8" max="13" width="15.625" style="3" customWidth="1"/>
    <col min="14" max="16384" width="9" style="1"/>
  </cols>
  <sheetData>
    <row r="1" spans="1:13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61</v>
      </c>
      <c r="F1" s="6" t="s">
        <v>59</v>
      </c>
      <c r="G1" s="6" t="s">
        <v>124</v>
      </c>
      <c r="H1" s="6" t="s">
        <v>118</v>
      </c>
      <c r="I1" s="6" t="s">
        <v>130</v>
      </c>
      <c r="J1" s="6" t="s">
        <v>70</v>
      </c>
      <c r="K1" s="6" t="s">
        <v>131</v>
      </c>
      <c r="L1" s="6" t="s">
        <v>132</v>
      </c>
      <c r="M1" s="6" t="s">
        <v>125</v>
      </c>
    </row>
    <row r="2" spans="1:13" ht="20.100000000000001" customHeight="1" x14ac:dyDescent="0.4">
      <c r="B2" s="2" t="s">
        <v>280</v>
      </c>
      <c r="C2" s="26" t="s">
        <v>273</v>
      </c>
      <c r="D2" s="3" t="s">
        <v>281</v>
      </c>
      <c r="E2" s="3" t="s">
        <v>282</v>
      </c>
      <c r="F2" s="3">
        <v>4550</v>
      </c>
      <c r="G2" s="3" t="s">
        <v>274</v>
      </c>
      <c r="H2" s="3" t="s">
        <v>275</v>
      </c>
      <c r="I2" s="3" t="s">
        <v>283</v>
      </c>
      <c r="J2" s="3" t="s">
        <v>276</v>
      </c>
      <c r="K2" s="3" t="s">
        <v>284</v>
      </c>
      <c r="L2" s="3" t="s">
        <v>277</v>
      </c>
      <c r="M2" s="3" t="s">
        <v>278</v>
      </c>
    </row>
  </sheetData>
  <phoneticPr fontId="1"/>
  <dataValidations count="5">
    <dataValidation type="list" allowBlank="1" showInputMessage="1" showErrorMessage="1" sqref="K2:K1048576" xr:uid="{23759C0D-8F7B-42AA-B954-60E96DFEDC56}">
      <formula1>"クリックスルー30日以内,ビュースルー1日以内,クリックスルー30日 + ビュースルー1日以内,クリックスルー1日以内,クリックスルー7日以内"</formula1>
    </dataValidation>
    <dataValidation type="list" allowBlank="1" showInputMessage="1" showErrorMessage="1" sqref="G2:G1048576" xr:uid="{E4B98407-7B52-4ED6-A8A1-A3AAFD4CF70E}">
      <formula1>"get_total,get_campaigns,get_campaigns&amp;total,dl_csv,dl_excel"</formula1>
    </dataValidation>
    <dataValidation type="list" allowBlank="1" showInputMessage="1" showErrorMessage="1" sqref="M2:M1048576" xr:uid="{649DB739-9F0F-45CF-AA93-42A69651EA87}">
      <formula1>"UTC,Asia/Tokyo"</formula1>
    </dataValidation>
    <dataValidation type="list" allowBlank="1" showInputMessage="1" showErrorMessage="1" sqref="L2:L1048576" xr:uid="{EE55DE87-B7E4-4BEA-A900-19E7CB549745}">
      <formula1>"JPY,USD"</formula1>
    </dataValidation>
    <dataValidation type="list" allowBlank="1" showInputMessage="1" showErrorMessage="1" sqref="A2:A1048576" xr:uid="{1D3FC117-A59F-4F72-AF78-651536ACDA28}">
      <formula1>"ON"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5FB98-3D37-467C-8BC8-76AD5119C175}">
  <sheetPr codeName="Sheet27"/>
  <dimension ref="A1:I2"/>
  <sheetViews>
    <sheetView showGridLines="0" zoomScale="85" zoomScaleNormal="85" workbookViewId="0">
      <selection activeCell="A2" sqref="A2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5" width="18.625" style="2" customWidth="1"/>
    <col min="6" max="9" width="18.625" style="3" customWidth="1"/>
    <col min="10" max="16384" width="9" style="1"/>
  </cols>
  <sheetData>
    <row r="1" spans="1:9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69</v>
      </c>
      <c r="F1" s="6" t="s">
        <v>59</v>
      </c>
      <c r="G1" s="6" t="s">
        <v>124</v>
      </c>
      <c r="H1" s="6" t="s">
        <v>133</v>
      </c>
      <c r="I1" s="6" t="s">
        <v>134</v>
      </c>
    </row>
    <row r="2" spans="1:9" ht="20.100000000000001" customHeight="1" x14ac:dyDescent="0.4">
      <c r="C2" s="26"/>
      <c r="D2" s="29"/>
    </row>
  </sheetData>
  <phoneticPr fontId="1"/>
  <dataValidations count="2">
    <dataValidation type="list" allowBlank="1" showInputMessage="1" showErrorMessage="1" sqref="A2:A1048576" xr:uid="{86215E1B-73FC-41F3-9065-F7070F23737E}">
      <formula1>"ON"</formula1>
    </dataValidation>
    <dataValidation type="list" allowBlank="1" showInputMessage="1" showErrorMessage="1" sqref="G2:G1048576" xr:uid="{3064D9CA-7FFB-4560-89B6-B40F39FD8D66}">
      <formula1>"get_total,get_campaigns,get_campaigns&amp;total"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7E542-D0C2-4C6A-AE7D-92EFF27A9174}">
  <sheetPr codeName="Sheet15"/>
  <dimension ref="A1:I2"/>
  <sheetViews>
    <sheetView showGridLines="0" zoomScale="85" zoomScaleNormal="85" workbookViewId="0">
      <selection activeCell="A2" sqref="A2"/>
    </sheetView>
  </sheetViews>
  <sheetFormatPr defaultColWidth="9" defaultRowHeight="20.100000000000001" customHeight="1" x14ac:dyDescent="0.4"/>
  <cols>
    <col min="1" max="1" width="18.625" style="2" customWidth="1"/>
    <col min="2" max="4" width="18.625" style="21" customWidth="1"/>
    <col min="5" max="7" width="18.625" style="2" customWidth="1"/>
    <col min="8" max="9" width="20.625" style="2" customWidth="1"/>
    <col min="10" max="16384" width="9" style="1"/>
  </cols>
  <sheetData>
    <row r="1" spans="1:9" ht="20.100000000000001" customHeight="1" x14ac:dyDescent="0.4">
      <c r="A1" s="4" t="s">
        <v>248</v>
      </c>
      <c r="B1" s="4" t="s">
        <v>0</v>
      </c>
      <c r="C1" s="4" t="s">
        <v>115</v>
      </c>
      <c r="D1" s="6" t="s">
        <v>59</v>
      </c>
      <c r="E1" s="6" t="s">
        <v>124</v>
      </c>
      <c r="F1" s="6" t="s">
        <v>118</v>
      </c>
      <c r="G1" s="6" t="s">
        <v>119</v>
      </c>
      <c r="H1" s="4" t="s">
        <v>116</v>
      </c>
      <c r="I1" s="4" t="s">
        <v>2</v>
      </c>
    </row>
    <row r="2" spans="1:9" ht="20.100000000000001" customHeight="1" x14ac:dyDescent="0.4">
      <c r="C2" s="26"/>
    </row>
  </sheetData>
  <phoneticPr fontId="1"/>
  <dataValidations count="2">
    <dataValidation type="list" allowBlank="1" showInputMessage="1" showErrorMessage="1" sqref="E2:E1048576" xr:uid="{0DB5D203-7BBA-4605-BD53-72C27EF569B9}">
      <formula1>"get_campaigns,dl_report"</formula1>
    </dataValidation>
    <dataValidation type="list" allowBlank="1" showInputMessage="1" showErrorMessage="1" sqref="A2:A1048576" xr:uid="{8747A477-E0D5-4B91-B88C-9BAE1868FA9F}">
      <formula1>"ON"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CB1EE-CCB0-44CD-BA74-C1CA1733F2B7}">
  <sheetPr codeName="Sheet25"/>
  <dimension ref="A1:H1"/>
  <sheetViews>
    <sheetView showGridLines="0" zoomScale="85" zoomScaleNormal="85" workbookViewId="0">
      <selection activeCell="A2" sqref="A2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7" width="18.625" style="3" customWidth="1"/>
    <col min="8" max="8" width="23.375" style="3" customWidth="1"/>
    <col min="9" max="16384" width="9" style="1"/>
  </cols>
  <sheetData>
    <row r="1" spans="1:8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61</v>
      </c>
      <c r="F1" s="6" t="s">
        <v>59</v>
      </c>
      <c r="G1" s="6" t="s">
        <v>127</v>
      </c>
      <c r="H1" s="6" t="s">
        <v>124</v>
      </c>
    </row>
  </sheetData>
  <phoneticPr fontId="1"/>
  <dataValidations count="3">
    <dataValidation type="list" allowBlank="1" showInputMessage="1" showErrorMessage="1" sqref="H2:H1048576" xr:uid="{1A9D9059-67F4-4B0F-9E5B-826F162D0519}">
      <formula1>"dl_report"</formula1>
    </dataValidation>
    <dataValidation type="list" allowBlank="1" showInputMessage="1" showErrorMessage="1" sqref="G2:G1048576" xr:uid="{93463600-7282-46D3-8471-9B6833E8F047}">
      <formula1>"day-subcampaign,day-category,day-subcampaign-category,day-subcampaign-creative,day-creative,subcampaign,category,day,creative"</formula1>
    </dataValidation>
    <dataValidation type="list" allowBlank="1" showInputMessage="1" showErrorMessage="1" sqref="A2:A1048576" xr:uid="{915AEE62-1E9F-4707-83BF-FB3C72638EC2}">
      <formula1>"ON"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14EF1-B5C6-4FDA-A8B9-974F1D23F2AE}">
  <sheetPr codeName="Sheet22"/>
  <dimension ref="A1:H1"/>
  <sheetViews>
    <sheetView showGridLines="0" zoomScale="85" zoomScaleNormal="85" workbookViewId="0">
      <selection activeCell="A2" sqref="A2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6" width="18.625" style="2" customWidth="1"/>
    <col min="7" max="7" width="18.625" style="21" customWidth="1"/>
    <col min="8" max="8" width="27.25" style="2" bestFit="1" customWidth="1"/>
    <col min="9" max="16384" width="9" style="1"/>
  </cols>
  <sheetData>
    <row r="1" spans="1:8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61</v>
      </c>
      <c r="F1" s="6" t="s">
        <v>59</v>
      </c>
      <c r="G1" s="6" t="s">
        <v>124</v>
      </c>
      <c r="H1" s="6" t="s">
        <v>134</v>
      </c>
    </row>
  </sheetData>
  <dataConsolidate/>
  <phoneticPr fontId="1"/>
  <dataValidations count="2">
    <dataValidation type="list" allowBlank="1" showInputMessage="1" showErrorMessage="1" sqref="A2:A1048576" xr:uid="{2239D08E-4F6A-451C-A8B6-B004528CAFCC}">
      <formula1>"ON"</formula1>
    </dataValidation>
    <dataValidation type="list" allowBlank="1" showInputMessage="1" sqref="G2:H1048576" xr:uid="{20834BD5-6693-45D7-8EEA-4A26CDD6D3C1}">
      <formula1>"get_campaigns,get_total,get_campaigns&amp;total"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0AC0D-A49E-45E0-A896-7121BD969593}">
  <sheetPr codeName="Sheet20"/>
  <dimension ref="A1:G1"/>
  <sheetViews>
    <sheetView showGridLines="0" zoomScale="85" zoomScaleNormal="85" workbookViewId="0">
      <selection activeCell="A2" sqref="A2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7" width="18.625" style="2" customWidth="1"/>
    <col min="8" max="16384" width="9" style="1"/>
  </cols>
  <sheetData>
    <row r="1" spans="1:7" ht="20.100000000000001" customHeight="1" x14ac:dyDescent="0.4">
      <c r="A1" s="4" t="s">
        <v>4</v>
      </c>
      <c r="B1" s="4" t="s">
        <v>0</v>
      </c>
      <c r="C1" s="4" t="s">
        <v>115</v>
      </c>
      <c r="D1" s="6" t="s">
        <v>128</v>
      </c>
      <c r="E1" s="6" t="s">
        <v>60</v>
      </c>
      <c r="F1" s="6" t="s">
        <v>61</v>
      </c>
      <c r="G1" s="6" t="s">
        <v>59</v>
      </c>
    </row>
  </sheetData>
  <dataConsolidate/>
  <phoneticPr fontId="1"/>
  <conditionalFormatting sqref="G1:G1048576">
    <cfRule type="duplicateValues" dxfId="0" priority="1"/>
  </conditionalFormatting>
  <dataValidations count="2">
    <dataValidation type="list" allowBlank="1" showInputMessage="1" showErrorMessage="1" sqref="D2:D1048576" xr:uid="{9B7A0361-0EAA-4608-9898-1E2D28F82B2E}">
      <formula1>"マスタ,個別"</formula1>
    </dataValidation>
    <dataValidation type="list" allowBlank="1" showInputMessage="1" showErrorMessage="1" sqref="A2:A1048576" xr:uid="{31BFE6D7-08B1-4994-BB9A-135B307449C0}">
      <formula1>"ON"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0D096-92B0-49F0-B2D2-AD7C718A7F09}">
  <sheetPr codeName="Sheet11"/>
  <dimension ref="A1:G1"/>
  <sheetViews>
    <sheetView showGridLines="0" zoomScale="85" zoomScaleNormal="85" workbookViewId="0">
      <selection activeCell="A2" sqref="A2"/>
    </sheetView>
  </sheetViews>
  <sheetFormatPr defaultColWidth="9" defaultRowHeight="20.100000000000001" customHeight="1" x14ac:dyDescent="0.4"/>
  <cols>
    <col min="1" max="2" width="18.625" style="2" customWidth="1"/>
    <col min="3" max="7" width="18.625" style="21" customWidth="1"/>
    <col min="8" max="16384" width="9" style="1"/>
  </cols>
  <sheetData>
    <row r="1" spans="1:7" ht="20.100000000000001" customHeight="1" x14ac:dyDescent="0.4">
      <c r="A1" s="4" t="s">
        <v>4</v>
      </c>
      <c r="B1" s="4" t="s">
        <v>0</v>
      </c>
      <c r="C1" s="4" t="s">
        <v>115</v>
      </c>
      <c r="D1" s="4" t="s">
        <v>60</v>
      </c>
      <c r="E1" s="4" t="s">
        <v>61</v>
      </c>
      <c r="F1" s="4" t="s">
        <v>59</v>
      </c>
      <c r="G1" s="4" t="s">
        <v>124</v>
      </c>
    </row>
  </sheetData>
  <phoneticPr fontId="1"/>
  <dataValidations count="2">
    <dataValidation type="list" allowBlank="1" showInputMessage="1" showErrorMessage="1" sqref="G2:G1048576" xr:uid="{B4D3E6B0-E969-4D2A-B47E-BEE8D0974914}">
      <formula1>"DailyReport,SummaryReport,CampaignReport,get_campaigns,get_total,get_daily"</formula1>
    </dataValidation>
    <dataValidation type="list" allowBlank="1" showInputMessage="1" showErrorMessage="1" sqref="A2:A1048576" xr:uid="{7B4DDF6D-8A6E-469C-A786-15AB82EBAFDC}">
      <formula1>"ON"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58BC4-10BA-4CFA-A495-2E664256243E}">
  <sheetPr codeName="Sheet17"/>
  <dimension ref="A1:H1"/>
  <sheetViews>
    <sheetView showGridLines="0" zoomScale="85" zoomScaleNormal="85" workbookViewId="0">
      <selection activeCell="A2" sqref="A2"/>
    </sheetView>
  </sheetViews>
  <sheetFormatPr defaultColWidth="9" defaultRowHeight="20.100000000000001" customHeight="1" x14ac:dyDescent="0.4"/>
  <cols>
    <col min="1" max="2" width="18.625" style="2" customWidth="1"/>
    <col min="3" max="7" width="18.625" style="21" customWidth="1"/>
    <col min="8" max="8" width="15.625" style="21" customWidth="1"/>
    <col min="9" max="16384" width="9" style="1"/>
  </cols>
  <sheetData>
    <row r="1" spans="1:8" ht="20.100000000000001" customHeight="1" x14ac:dyDescent="0.4">
      <c r="A1" s="4" t="s">
        <v>4</v>
      </c>
      <c r="B1" s="4" t="s">
        <v>0</v>
      </c>
      <c r="C1" s="4" t="s">
        <v>115</v>
      </c>
      <c r="D1" s="4" t="s">
        <v>128</v>
      </c>
      <c r="E1" s="4" t="s">
        <v>60</v>
      </c>
      <c r="F1" s="4" t="s">
        <v>61</v>
      </c>
      <c r="G1" s="4" t="s">
        <v>59</v>
      </c>
      <c r="H1" s="4" t="s">
        <v>124</v>
      </c>
    </row>
  </sheetData>
  <dataConsolidate/>
  <phoneticPr fontId="1"/>
  <dataValidations count="3">
    <dataValidation type="list" allowBlank="1" showInputMessage="1" showErrorMessage="1" sqref="D2:D1048576" xr:uid="{7B0F5B55-4911-4B0E-A237-C40DD310739F}">
      <formula1>"マスタ,個別"</formula1>
    </dataValidation>
    <dataValidation type="list" allowBlank="1" showInputMessage="1" showErrorMessage="1" sqref="A2:A1048576" xr:uid="{A57B3A2A-BE58-4EEE-BAA1-B592F4D2CC47}">
      <formula1>"ON"</formula1>
    </dataValidation>
    <dataValidation type="list" allowBlank="1" showInputMessage="1" showErrorMessage="1" sqref="H2:H1048576" xr:uid="{9ECC23C2-C4CB-42BA-83A0-4AD1413070B3}">
      <formula1>"get_orders"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FE695-0DE6-4453-B610-03CA40BBD61F}">
  <sheetPr codeName="Sheet31"/>
  <dimension ref="A1:H1"/>
  <sheetViews>
    <sheetView showGridLines="0" zoomScale="85" zoomScaleNormal="85" workbookViewId="0">
      <selection activeCell="A2" sqref="A2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7" width="18.625" style="3" customWidth="1"/>
    <col min="8" max="8" width="15.625" style="3" customWidth="1"/>
    <col min="9" max="16384" width="9" style="1"/>
  </cols>
  <sheetData>
    <row r="1" spans="1:8" ht="20.100000000000001" customHeight="1" x14ac:dyDescent="0.4">
      <c r="A1" s="4" t="s">
        <v>4</v>
      </c>
      <c r="B1" s="4" t="s">
        <v>0</v>
      </c>
      <c r="C1" s="4" t="s">
        <v>115</v>
      </c>
      <c r="D1" s="4" t="s">
        <v>60</v>
      </c>
      <c r="E1" s="4" t="s">
        <v>61</v>
      </c>
      <c r="F1" s="4" t="s">
        <v>59</v>
      </c>
      <c r="G1" s="4" t="s">
        <v>124</v>
      </c>
      <c r="H1" s="4" t="s">
        <v>129</v>
      </c>
    </row>
  </sheetData>
  <phoneticPr fontId="1"/>
  <dataValidations count="3">
    <dataValidation type="list" allowBlank="1" showInputMessage="1" showErrorMessage="1" sqref="A2:A1048576" xr:uid="{38A72841-F6DA-4AAF-BA55-826677BD0BD2}">
      <formula1>"ON"</formula1>
    </dataValidation>
    <dataValidation type="list" allowBlank="1" showInputMessage="1" showErrorMessage="1" sqref="H2:H1048576" xr:uid="{E4FD722A-F802-4253-8B22-8DA67B72C6C5}">
      <formula1>"Include,Exclude"</formula1>
    </dataValidation>
    <dataValidation type="list" allowBlank="1" showInputMessage="1" showErrorMessage="1" sqref="G2:G1048576" xr:uid="{342968EA-F1BC-4BC7-88F5-5A510E78DB63}">
      <formula1>"CampaignｘRetention,CampaignｘPurchase,GameFeedｘRetention,GameFeedｘPurchase,get_campaigns,get_total,get_campaigns&amp;total"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886F0-3811-4E2C-B348-567F02B7838E}">
  <sheetPr codeName="Sheet37"/>
  <dimension ref="A1:G1"/>
  <sheetViews>
    <sheetView showGridLines="0" zoomScale="85" zoomScaleNormal="85" workbookViewId="0">
      <selection activeCell="A2" sqref="A2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7" width="18.625" style="3" customWidth="1"/>
    <col min="8" max="16384" width="9" style="1"/>
  </cols>
  <sheetData>
    <row r="1" spans="1:7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61</v>
      </c>
      <c r="F1" s="6" t="s">
        <v>59</v>
      </c>
      <c r="G1" s="6" t="s">
        <v>124</v>
      </c>
    </row>
  </sheetData>
  <phoneticPr fontId="1"/>
  <dataValidations count="2">
    <dataValidation type="list" allowBlank="1" showInputMessage="1" showErrorMessage="1" sqref="G2:G1048576" xr:uid="{13E2934A-9BDB-4A48-9F0E-893BF79E1CDB}">
      <formula1>"get_campaigns,get_total,get_campaigns&amp;total,get_campaigns_new"</formula1>
    </dataValidation>
    <dataValidation type="list" allowBlank="1" showInputMessage="1" showErrorMessage="1" sqref="A2:A1048576" xr:uid="{AEED9FE7-75E6-4641-8D55-4FEC7EEB7DB6}">
      <formula1>"ON"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F638E-BC7D-48FB-83ED-8D63B31F323B}">
  <sheetPr codeName="Sheet38"/>
  <dimension ref="A1:G1"/>
  <sheetViews>
    <sheetView showGridLines="0" zoomScale="85" zoomScaleNormal="85" workbookViewId="0">
      <selection activeCell="A2" sqref="A2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7" width="18.625" style="3" customWidth="1"/>
    <col min="8" max="16384" width="9" style="1"/>
  </cols>
  <sheetData>
    <row r="1" spans="1:7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61</v>
      </c>
      <c r="F1" s="6" t="s">
        <v>59</v>
      </c>
      <c r="G1" s="6" t="s">
        <v>124</v>
      </c>
    </row>
  </sheetData>
  <phoneticPr fontId="1"/>
  <dataValidations count="2">
    <dataValidation type="list" allowBlank="1" showInputMessage="1" showErrorMessage="1" sqref="A2:A1048576" xr:uid="{5A41C542-DAC5-4922-A4BB-5B381AD80C8A}">
      <formula1>"ON"</formula1>
    </dataValidation>
    <dataValidation type="list" allowBlank="1" showInputMessage="1" showErrorMessage="1" sqref="G2:G1048576" xr:uid="{43694BAE-387F-4362-AF93-AEA57A7A0748}">
      <formula1>"get_campaigns,get_total,get_campaigns&amp;total,get_campaigns_new"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29</vt:i4>
      </vt:variant>
    </vt:vector>
  </HeadingPairs>
  <TitlesOfParts>
    <vt:vector size="29" baseType="lpstr">
      <vt:lpstr>Mapping</vt:lpstr>
      <vt:lpstr>Category</vt:lpstr>
      <vt:lpstr>Validation</vt:lpstr>
      <vt:lpstr>Gunosy</vt:lpstr>
      <vt:lpstr>Logicad</vt:lpstr>
      <vt:lpstr>KANADE</vt:lpstr>
      <vt:lpstr>Unicorn</vt:lpstr>
      <vt:lpstr>ASA</vt:lpstr>
      <vt:lpstr>Facebook</vt:lpstr>
      <vt:lpstr>SmartNews</vt:lpstr>
      <vt:lpstr>CAD</vt:lpstr>
      <vt:lpstr>External</vt:lpstr>
      <vt:lpstr>Yahoo</vt:lpstr>
      <vt:lpstr>Docomo</vt:lpstr>
      <vt:lpstr>Cube</vt:lpstr>
      <vt:lpstr>SearchSuite</vt:lpstr>
      <vt:lpstr>Google</vt:lpstr>
      <vt:lpstr>LINE</vt:lpstr>
      <vt:lpstr>Criteo</vt:lpstr>
      <vt:lpstr>Twitter</vt:lpstr>
      <vt:lpstr>Bytedance</vt:lpstr>
      <vt:lpstr>RTBHouse</vt:lpstr>
      <vt:lpstr>Ameba</vt:lpstr>
      <vt:lpstr>nend</vt:lpstr>
      <vt:lpstr>imobile</vt:lpstr>
      <vt:lpstr>AmoAd</vt:lpstr>
      <vt:lpstr>Dynalyst</vt:lpstr>
      <vt:lpstr>YSS</vt:lpstr>
      <vt:lpstr>YDN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 VAN CUONG</dc:creator>
  <cp:lastModifiedBy>NGUYEN PHI LONG</cp:lastModifiedBy>
  <dcterms:created xsi:type="dcterms:W3CDTF">2019-10-25T05:16:29Z</dcterms:created>
  <dcterms:modified xsi:type="dcterms:W3CDTF">2022-06-02T01:22:45Z</dcterms:modified>
</cp:coreProperties>
</file>